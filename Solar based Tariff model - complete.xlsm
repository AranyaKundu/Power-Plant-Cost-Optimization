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filterPrivacy="1" codeName="ThisWorkbook" defaultThemeVersion="124226"/>
  <xr:revisionPtr revIDLastSave="0" documentId="13_ncr:1_{9BE48DBD-3580-4D58-82A3-635A7E51EF24}" xr6:coauthVersionLast="47" xr6:coauthVersionMax="47" xr10:uidLastSave="{00000000-0000-0000-0000-000000000000}"/>
  <bookViews>
    <workbookView xWindow="-108" yWindow="-108" windowWidth="23256" windowHeight="13176" tabRatio="575" xr2:uid="{00000000-000D-0000-FFFF-FFFF00000000}"/>
  </bookViews>
  <sheets>
    <sheet name="Instructions" sheetId="8" r:id="rId1"/>
    <sheet name="State-wise Tariff" sheetId="9" r:id="rId2"/>
    <sheet name="Input Sheet" sheetId="4" r:id="rId3"/>
    <sheet name="Output" sheetId="6" r:id="rId4"/>
    <sheet name="Cost Requirement" sheetId="3" r:id="rId5"/>
    <sheet name="Financial" sheetId="7" r:id="rId6"/>
    <sheet name="Basic Tariff Model" sheetId="5" r:id="rId7"/>
  </sheets>
  <externalReferences>
    <externalReference r:id="rId8"/>
  </externalReferenc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6" l="1"/>
  <c r="K19" i="3"/>
  <c r="I34" i="9" l="1"/>
  <c r="V5" i="9" l="1"/>
  <c r="V4" i="9"/>
  <c r="N4" i="9"/>
  <c r="M5" i="9"/>
  <c r="M4" i="9"/>
  <c r="L5" i="9"/>
  <c r="L4" i="9"/>
  <c r="J5" i="9"/>
  <c r="J4" i="9"/>
  <c r="H5" i="9"/>
  <c r="G5" i="9"/>
  <c r="G4" i="9"/>
  <c r="F5" i="9"/>
  <c r="F4" i="9"/>
  <c r="E5" i="9"/>
  <c r="E4" i="9"/>
  <c r="D5" i="9"/>
  <c r="D4" i="9"/>
  <c r="D11" i="9" l="1"/>
  <c r="E11" i="9" s="1"/>
  <c r="C15" i="9"/>
  <c r="D15" i="9" s="1"/>
  <c r="E15" i="9" s="1"/>
  <c r="F15" i="9"/>
  <c r="K14" i="9"/>
  <c r="K15" i="9" s="1"/>
  <c r="G15" i="9"/>
  <c r="D14" i="9"/>
  <c r="E14" i="9" s="1"/>
  <c r="J19" i="4" l="1"/>
  <c r="K19" i="4" s="1"/>
  <c r="L19" i="4" s="1"/>
  <c r="M19" i="4" s="1"/>
  <c r="N19" i="4" s="1"/>
  <c r="O19" i="4" s="1"/>
  <c r="P19" i="4" s="1"/>
  <c r="Q19" i="4" s="1"/>
  <c r="R19" i="4" s="1"/>
  <c r="S19" i="4" s="1"/>
  <c r="T19" i="4" s="1"/>
  <c r="U19" i="4" s="1"/>
  <c r="V19" i="4" s="1"/>
  <c r="W19" i="4" s="1"/>
  <c r="X19" i="4" s="1"/>
  <c r="Y19" i="4" s="1"/>
  <c r="Z19" i="4" s="1"/>
  <c r="AA19" i="4" s="1"/>
  <c r="AB19" i="4" s="1"/>
  <c r="P5" i="9" l="1"/>
  <c r="R11" i="9" l="1"/>
  <c r="AB17" i="9" l="1"/>
  <c r="S18" i="9"/>
  <c r="T18" i="9"/>
  <c r="U18" i="9"/>
  <c r="V18" i="9"/>
  <c r="W18" i="9"/>
  <c r="X18" i="9"/>
  <c r="Y18" i="9"/>
  <c r="Z18" i="9"/>
  <c r="AA18" i="9"/>
  <c r="AB18" i="9"/>
  <c r="S19" i="9"/>
  <c r="T19" i="9"/>
  <c r="U19" i="9"/>
  <c r="V19" i="9"/>
  <c r="W19" i="9"/>
  <c r="X19" i="9"/>
  <c r="Y19" i="9"/>
  <c r="Z19" i="9"/>
  <c r="AA19" i="9"/>
  <c r="AB19" i="9"/>
  <c r="S20" i="9"/>
  <c r="T20" i="9"/>
  <c r="U20" i="9"/>
  <c r="V20" i="9"/>
  <c r="W20" i="9"/>
  <c r="X20" i="9"/>
  <c r="Y20" i="9"/>
  <c r="Z20" i="9"/>
  <c r="AA20" i="9"/>
  <c r="AB20" i="9"/>
  <c r="R20" i="9"/>
  <c r="R19" i="9"/>
  <c r="R18" i="9"/>
  <c r="U15" i="9"/>
  <c r="V15" i="9"/>
  <c r="W15" i="9"/>
  <c r="X15" i="9"/>
  <c r="Z15" i="9"/>
  <c r="AA15" i="9"/>
  <c r="AB15" i="9"/>
  <c r="S15" i="9"/>
  <c r="T15" i="9"/>
  <c r="R15" i="9"/>
  <c r="I18" i="9"/>
  <c r="J18" i="9"/>
  <c r="K18" i="9"/>
  <c r="L18" i="9"/>
  <c r="M18" i="9"/>
  <c r="N18" i="9"/>
  <c r="O18" i="9"/>
  <c r="P18" i="9"/>
  <c r="I19" i="9"/>
  <c r="J19" i="9"/>
  <c r="K19" i="9"/>
  <c r="L19" i="9"/>
  <c r="M19" i="9"/>
  <c r="N19" i="9"/>
  <c r="O19" i="9"/>
  <c r="P19" i="9"/>
  <c r="I20" i="9"/>
  <c r="J20" i="9"/>
  <c r="K20" i="9"/>
  <c r="L20" i="9"/>
  <c r="M20" i="9"/>
  <c r="N20" i="9"/>
  <c r="O20" i="9"/>
  <c r="P20" i="9"/>
  <c r="P15" i="9"/>
  <c r="N15" i="9"/>
  <c r="O15" i="9"/>
  <c r="M15" i="9"/>
  <c r="L15" i="9"/>
  <c r="J15" i="9"/>
  <c r="I15" i="9"/>
  <c r="H15" i="9"/>
  <c r="Y14" i="9"/>
  <c r="Y15" i="9" s="1"/>
  <c r="C17" i="9"/>
  <c r="C18" i="9"/>
  <c r="C19" i="9"/>
  <c r="C20" i="9"/>
  <c r="D3" i="9"/>
  <c r="E3" i="9"/>
  <c r="F3" i="9"/>
  <c r="G3" i="9"/>
  <c r="H3" i="9"/>
  <c r="I3" i="9"/>
  <c r="J3" i="9"/>
  <c r="K3" i="9"/>
  <c r="L3" i="9"/>
  <c r="M3" i="9"/>
  <c r="N3" i="9"/>
  <c r="O3" i="9"/>
  <c r="P3" i="9"/>
  <c r="H12" i="9"/>
  <c r="D18" i="9"/>
  <c r="E18" i="9"/>
  <c r="F18" i="9"/>
  <c r="G18" i="9"/>
  <c r="H18" i="9"/>
  <c r="D19" i="9"/>
  <c r="E19" i="9"/>
  <c r="F19" i="9"/>
  <c r="G19" i="9"/>
  <c r="H19" i="9"/>
  <c r="D20" i="9"/>
  <c r="E20" i="9"/>
  <c r="F20" i="9"/>
  <c r="G20" i="9"/>
  <c r="H20" i="9"/>
  <c r="P4" i="9"/>
  <c r="S3" i="9"/>
  <c r="T3" i="9"/>
  <c r="U3" i="9"/>
  <c r="V3" i="9"/>
  <c r="W3" i="9"/>
  <c r="X3" i="9"/>
  <c r="Y3" i="9"/>
  <c r="Z3" i="9"/>
  <c r="AA3" i="9"/>
  <c r="AB3" i="9"/>
  <c r="R3" i="9"/>
  <c r="C12" i="9"/>
  <c r="D8" i="9"/>
  <c r="E8" i="9" s="1"/>
  <c r="F8" i="9" s="1"/>
  <c r="G8" i="9" s="1"/>
  <c r="C6" i="9"/>
  <c r="D6" i="9" s="1"/>
  <c r="E6" i="9" s="1"/>
  <c r="F6" i="9" s="1"/>
  <c r="G6" i="9" s="1"/>
  <c r="H6" i="9" s="1"/>
  <c r="I6" i="9" s="1"/>
  <c r="J6" i="9" s="1"/>
  <c r="K6" i="9" s="1"/>
  <c r="L6" i="9" s="1"/>
  <c r="M6" i="9" s="1"/>
  <c r="N6" i="9" s="1"/>
  <c r="O6" i="9" s="1"/>
  <c r="P6" i="9" s="1"/>
  <c r="C3" i="9"/>
  <c r="AB11" i="9" l="1"/>
  <c r="V11" i="9"/>
  <c r="J11" i="9"/>
  <c r="N11" i="9"/>
  <c r="AB6" i="9"/>
  <c r="AA6" i="9"/>
  <c r="R6" i="9"/>
  <c r="S6" i="9" s="1"/>
  <c r="T6" i="9" s="1"/>
  <c r="U6" i="9" s="1"/>
  <c r="V6" i="9" s="1"/>
  <c r="W6" i="9" s="1"/>
  <c r="X6" i="9" s="1"/>
  <c r="Y6" i="9" s="1"/>
  <c r="Z6" i="9" s="1"/>
  <c r="H13" i="3"/>
  <c r="H11" i="3"/>
  <c r="H8" i="3"/>
  <c r="H10" i="3"/>
  <c r="E9" i="6"/>
  <c r="C19" i="3"/>
  <c r="E28" i="6"/>
  <c r="G5" i="3"/>
  <c r="H5" i="3" s="1"/>
  <c r="E17" i="6"/>
  <c r="E21" i="6" l="1"/>
  <c r="E19" i="6"/>
  <c r="E18" i="6"/>
  <c r="E23" i="6"/>
  <c r="E22" i="6"/>
  <c r="D8" i="4" l="1"/>
  <c r="G16" i="3"/>
  <c r="E26" i="6"/>
  <c r="K20" i="3" l="1"/>
  <c r="D10" i="4" s="1"/>
  <c r="E16" i="6"/>
  <c r="Z10" i="4" l="1"/>
  <c r="Y10" i="4"/>
  <c r="U10" i="4"/>
  <c r="Q10" i="4"/>
  <c r="V10" i="4"/>
  <c r="AB10" i="4"/>
  <c r="X10" i="4"/>
  <c r="T10" i="4"/>
  <c r="P10" i="4"/>
  <c r="R10" i="4"/>
  <c r="AA10" i="4"/>
  <c r="W10" i="4"/>
  <c r="S10" i="4"/>
  <c r="O10" i="4"/>
  <c r="H10" i="4"/>
  <c r="M10" i="4"/>
  <c r="E10" i="4"/>
  <c r="L10" i="4"/>
  <c r="K10" i="4"/>
  <c r="G10" i="4"/>
  <c r="I10" i="4"/>
  <c r="J10" i="4"/>
  <c r="F10" i="4"/>
  <c r="G6" i="3"/>
  <c r="E29" i="6"/>
  <c r="E27" i="6" l="1"/>
  <c r="H6" i="3"/>
  <c r="F44" i="5"/>
  <c r="G44" i="5"/>
  <c r="H44" i="5"/>
  <c r="I44" i="5"/>
  <c r="J44" i="5"/>
  <c r="K44" i="5"/>
  <c r="L44" i="5"/>
  <c r="M44" i="5"/>
  <c r="N44" i="5"/>
  <c r="O44" i="5"/>
  <c r="P44" i="5"/>
  <c r="Q44" i="5"/>
  <c r="R44" i="5"/>
  <c r="S44" i="5"/>
  <c r="T44" i="5"/>
  <c r="U44" i="5"/>
  <c r="V44" i="5"/>
  <c r="W44" i="5"/>
  <c r="X44" i="5"/>
  <c r="Y44" i="5"/>
  <c r="Z44" i="5"/>
  <c r="AA44" i="5"/>
  <c r="AB44" i="5"/>
  <c r="AC44" i="5"/>
  <c r="E44" i="5"/>
  <c r="F27" i="6" l="1"/>
  <c r="F43" i="5"/>
  <c r="G43" i="5"/>
  <c r="H43" i="5"/>
  <c r="I43" i="5"/>
  <c r="J43" i="5"/>
  <c r="K43" i="5"/>
  <c r="L43" i="5"/>
  <c r="M43" i="5"/>
  <c r="N43" i="5"/>
  <c r="O43" i="5"/>
  <c r="P43" i="5"/>
  <c r="Q43" i="5"/>
  <c r="R43" i="5"/>
  <c r="S43" i="5"/>
  <c r="T43" i="5"/>
  <c r="U43" i="5"/>
  <c r="V43" i="5"/>
  <c r="W43" i="5"/>
  <c r="X43" i="5"/>
  <c r="Y43" i="5"/>
  <c r="Z43" i="5"/>
  <c r="AA43" i="5"/>
  <c r="AB43" i="5"/>
  <c r="AC43" i="5"/>
  <c r="E43" i="5"/>
  <c r="E10" i="6"/>
  <c r="E12" i="6" l="1"/>
  <c r="E11" i="6"/>
  <c r="E25" i="6" l="1"/>
  <c r="E24" i="6"/>
  <c r="E20" i="6"/>
  <c r="E15" i="6"/>
  <c r="E14" i="6"/>
  <c r="G17" i="3" l="1"/>
  <c r="E8" i="4"/>
  <c r="I23" i="5"/>
  <c r="F23" i="5"/>
  <c r="G23" i="5"/>
  <c r="H23" i="5"/>
  <c r="J23" i="5"/>
  <c r="K23" i="5"/>
  <c r="L23" i="5"/>
  <c r="M23" i="5"/>
  <c r="N23" i="5"/>
  <c r="O23" i="5"/>
  <c r="P23" i="5"/>
  <c r="Q23" i="5"/>
  <c r="R23" i="5"/>
  <c r="S23" i="5"/>
  <c r="T23" i="5"/>
  <c r="U23" i="5"/>
  <c r="V23" i="5"/>
  <c r="W23" i="5"/>
  <c r="X23" i="5"/>
  <c r="Y23" i="5"/>
  <c r="Z23" i="5"/>
  <c r="AA23" i="5"/>
  <c r="AB23" i="5"/>
  <c r="AC23" i="5"/>
  <c r="F42" i="5"/>
  <c r="G42" i="5"/>
  <c r="H42" i="5"/>
  <c r="I42" i="5"/>
  <c r="E42" i="5"/>
  <c r="E52" i="5"/>
  <c r="A50" i="5"/>
  <c r="A49" i="5"/>
  <c r="A48" i="5"/>
  <c r="AB20" i="4"/>
  <c r="AC41" i="5" s="1"/>
  <c r="AA20" i="4"/>
  <c r="AB41" i="5" s="1"/>
  <c r="Z20" i="4"/>
  <c r="AA41" i="5" s="1"/>
  <c r="Y20" i="4"/>
  <c r="Z41" i="5" s="1"/>
  <c r="X20" i="4"/>
  <c r="Y41" i="5" s="1"/>
  <c r="W20" i="4"/>
  <c r="X41" i="5" s="1"/>
  <c r="V20" i="4"/>
  <c r="W41" i="5" s="1"/>
  <c r="U20" i="4"/>
  <c r="V41" i="5" s="1"/>
  <c r="T20" i="4"/>
  <c r="U41" i="5" s="1"/>
  <c r="S20" i="4"/>
  <c r="T41" i="5" s="1"/>
  <c r="R20" i="4"/>
  <c r="S41" i="5" s="1"/>
  <c r="Q20" i="4"/>
  <c r="R41" i="5" s="1"/>
  <c r="P20" i="4"/>
  <c r="Q41" i="5" s="1"/>
  <c r="O20" i="4"/>
  <c r="P41" i="5" s="1"/>
  <c r="N20" i="4"/>
  <c r="O41" i="5" s="1"/>
  <c r="M20" i="4"/>
  <c r="N41" i="5" s="1"/>
  <c r="L20" i="4"/>
  <c r="M41" i="5" s="1"/>
  <c r="K20" i="4"/>
  <c r="L41" i="5" s="1"/>
  <c r="J20" i="4"/>
  <c r="K41" i="5" s="1"/>
  <c r="I20" i="4"/>
  <c r="J41" i="5" s="1"/>
  <c r="H20" i="4"/>
  <c r="I41" i="5" s="1"/>
  <c r="G20" i="4"/>
  <c r="H41" i="5" s="1"/>
  <c r="F20" i="4"/>
  <c r="G41" i="5" s="1"/>
  <c r="E20" i="4"/>
  <c r="F41" i="5" s="1"/>
  <c r="D20" i="4"/>
  <c r="E41" i="5" s="1"/>
  <c r="G45" i="5" l="1"/>
  <c r="G48" i="5" s="1"/>
  <c r="E45" i="5"/>
  <c r="F45" i="5"/>
  <c r="F56" i="5" s="1"/>
  <c r="E6" i="7" s="1"/>
  <c r="I45" i="5"/>
  <c r="I49" i="5" s="1"/>
  <c r="H45" i="5"/>
  <c r="H48" i="5" s="1"/>
  <c r="H49" i="5" l="1"/>
  <c r="H56" i="5"/>
  <c r="G6" i="7" s="1"/>
  <c r="I56" i="5"/>
  <c r="H6" i="7" s="1"/>
  <c r="F48" i="5"/>
  <c r="F49" i="5"/>
  <c r="I48" i="5"/>
  <c r="G49" i="5"/>
  <c r="G56" i="5"/>
  <c r="F6" i="7" s="1"/>
  <c r="E49" i="5"/>
  <c r="E48" i="5"/>
  <c r="E56" i="5"/>
  <c r="D6" i="7" l="1"/>
  <c r="F32" i="5" l="1"/>
  <c r="G32" i="5"/>
  <c r="H32" i="5"/>
  <c r="I32" i="5"/>
  <c r="J32" i="5"/>
  <c r="K32" i="5"/>
  <c r="L32" i="5"/>
  <c r="M32" i="5"/>
  <c r="N32" i="5"/>
  <c r="O32" i="5"/>
  <c r="P32" i="5"/>
  <c r="Q32" i="5"/>
  <c r="R32" i="5"/>
  <c r="S32" i="5"/>
  <c r="T32" i="5"/>
  <c r="U32" i="5"/>
  <c r="V32" i="5"/>
  <c r="W32" i="5"/>
  <c r="X32" i="5"/>
  <c r="Y32" i="5"/>
  <c r="Z32" i="5"/>
  <c r="AA32" i="5"/>
  <c r="AB32" i="5"/>
  <c r="AC32" i="5"/>
  <c r="E32" i="5"/>
  <c r="G7" i="3"/>
  <c r="H7" i="3" s="1"/>
  <c r="E27" i="5"/>
  <c r="E23" i="5"/>
  <c r="E18" i="5"/>
  <c r="E13" i="5"/>
  <c r="AC7" i="5"/>
  <c r="AB7" i="5"/>
  <c r="AA7" i="5"/>
  <c r="Z7" i="5"/>
  <c r="Y7" i="5"/>
  <c r="X7" i="5"/>
  <c r="W7" i="5"/>
  <c r="V7" i="5"/>
  <c r="U7" i="5"/>
  <c r="T7" i="5"/>
  <c r="S7" i="5"/>
  <c r="R7" i="5"/>
  <c r="Q7" i="5"/>
  <c r="P7" i="5"/>
  <c r="O7" i="5"/>
  <c r="N7" i="5"/>
  <c r="M7" i="5"/>
  <c r="L7" i="5"/>
  <c r="K7" i="5"/>
  <c r="J7" i="5"/>
  <c r="I7" i="5"/>
  <c r="H7" i="5"/>
  <c r="G7" i="5"/>
  <c r="F7" i="5"/>
  <c r="E7" i="5"/>
  <c r="E17" i="4"/>
  <c r="F17" i="4" s="1"/>
  <c r="G17" i="4" s="1"/>
  <c r="H17" i="4" s="1"/>
  <c r="I17" i="4" s="1"/>
  <c r="J17" i="4" s="1"/>
  <c r="K17" i="4" s="1"/>
  <c r="L17" i="4" s="1"/>
  <c r="M17" i="4" s="1"/>
  <c r="N17" i="4" s="1"/>
  <c r="O17" i="4" s="1"/>
  <c r="P17" i="4" s="1"/>
  <c r="Q17" i="4" s="1"/>
  <c r="R17" i="4" s="1"/>
  <c r="S17" i="4" s="1"/>
  <c r="T17" i="4" s="1"/>
  <c r="U17" i="4" s="1"/>
  <c r="V17" i="4" s="1"/>
  <c r="W17" i="4" s="1"/>
  <c r="X17" i="4" s="1"/>
  <c r="Y17" i="4" s="1"/>
  <c r="Z17" i="4" s="1"/>
  <c r="AA17" i="4" s="1"/>
  <c r="AB17" i="4" s="1"/>
  <c r="E16" i="4"/>
  <c r="F16" i="4" s="1"/>
  <c r="G16" i="4" s="1"/>
  <c r="H16" i="4" s="1"/>
  <c r="I16" i="4" s="1"/>
  <c r="J16" i="4" s="1"/>
  <c r="K16" i="4" s="1"/>
  <c r="L16" i="4" s="1"/>
  <c r="M16" i="4" s="1"/>
  <c r="N16" i="4" s="1"/>
  <c r="O16" i="4" s="1"/>
  <c r="P16" i="4" s="1"/>
  <c r="Q16" i="4" s="1"/>
  <c r="R16" i="4" s="1"/>
  <c r="S16" i="4" s="1"/>
  <c r="T16" i="4" s="1"/>
  <c r="U16" i="4" s="1"/>
  <c r="V16" i="4" s="1"/>
  <c r="W16" i="4" s="1"/>
  <c r="X16" i="4" s="1"/>
  <c r="Y16" i="4" s="1"/>
  <c r="Z16" i="4" s="1"/>
  <c r="AA16" i="4" s="1"/>
  <c r="AB16" i="4" s="1"/>
  <c r="E7" i="4"/>
  <c r="E13" i="4"/>
  <c r="E15" i="4"/>
  <c r="F15" i="4" s="1"/>
  <c r="G15" i="4" s="1"/>
  <c r="H15" i="4" s="1"/>
  <c r="I15" i="4" s="1"/>
  <c r="J15" i="4" s="1"/>
  <c r="K15" i="4" s="1"/>
  <c r="L15" i="4" s="1"/>
  <c r="M15" i="4" s="1"/>
  <c r="N15" i="4" s="1"/>
  <c r="O15" i="4" s="1"/>
  <c r="P15" i="4" s="1"/>
  <c r="Q15" i="4" s="1"/>
  <c r="R15" i="4" s="1"/>
  <c r="S15" i="4" s="1"/>
  <c r="T15" i="4" s="1"/>
  <c r="U15" i="4" s="1"/>
  <c r="V15" i="4" s="1"/>
  <c r="W15" i="4" s="1"/>
  <c r="X15" i="4" s="1"/>
  <c r="Y15" i="4" s="1"/>
  <c r="Z15" i="4" s="1"/>
  <c r="AA15" i="4" s="1"/>
  <c r="AB15" i="4" s="1"/>
  <c r="E12" i="4"/>
  <c r="E5" i="4"/>
  <c r="D17" i="9" s="1"/>
  <c r="E9" i="4"/>
  <c r="F9" i="4" s="1"/>
  <c r="G9" i="4" s="1"/>
  <c r="H9" i="4" s="1"/>
  <c r="I9" i="4" s="1"/>
  <c r="J9" i="4" s="1"/>
  <c r="K9" i="4" s="1"/>
  <c r="L9" i="4" s="1"/>
  <c r="M9" i="4" s="1"/>
  <c r="O9" i="4" s="1"/>
  <c r="P9" i="4" s="1"/>
  <c r="Q9" i="4" s="1"/>
  <c r="R9" i="4" s="1"/>
  <c r="S9" i="4" s="1"/>
  <c r="T9" i="4" s="1"/>
  <c r="U9" i="4" s="1"/>
  <c r="V9" i="4" s="1"/>
  <c r="W9" i="4" s="1"/>
  <c r="X9" i="4" s="1"/>
  <c r="Y9" i="4" s="1"/>
  <c r="Z9" i="4" s="1"/>
  <c r="AA9" i="4" s="1"/>
  <c r="AB9" i="4" s="1"/>
  <c r="E11" i="4"/>
  <c r="F11" i="4" s="1"/>
  <c r="G11" i="4" s="1"/>
  <c r="H11" i="4" s="1"/>
  <c r="I11" i="4" s="1"/>
  <c r="J11" i="4" s="1"/>
  <c r="K11" i="4" s="1"/>
  <c r="L11" i="4" s="1"/>
  <c r="M11" i="4" s="1"/>
  <c r="N11" i="4" s="1"/>
  <c r="O11" i="4" s="1"/>
  <c r="P11" i="4" s="1"/>
  <c r="Q11" i="4" s="1"/>
  <c r="R11" i="4" s="1"/>
  <c r="S11" i="4" s="1"/>
  <c r="T11" i="4" s="1"/>
  <c r="U11" i="4" s="1"/>
  <c r="V11" i="4" s="1"/>
  <c r="W11" i="4" s="1"/>
  <c r="X11" i="4" s="1"/>
  <c r="Y11" i="4" s="1"/>
  <c r="Z11" i="4" s="1"/>
  <c r="AA11" i="4" s="1"/>
  <c r="AB11" i="4" s="1"/>
  <c r="E18" i="4"/>
  <c r="E6" i="4"/>
  <c r="E4" i="4"/>
  <c r="F18" i="4" l="1"/>
  <c r="D12" i="9"/>
  <c r="F5" i="4"/>
  <c r="E17" i="9" s="1"/>
  <c r="H16" i="3"/>
  <c r="H17" i="3" s="1"/>
  <c r="F6" i="4"/>
  <c r="AC13" i="5"/>
  <c r="AB13" i="5"/>
  <c r="F13" i="4"/>
  <c r="F52" i="5"/>
  <c r="AA13" i="5"/>
  <c r="W13" i="5"/>
  <c r="S13" i="5"/>
  <c r="O13" i="5"/>
  <c r="K13" i="5"/>
  <c r="G13" i="5"/>
  <c r="X13" i="5"/>
  <c r="T13" i="5"/>
  <c r="P13" i="5"/>
  <c r="L13" i="5"/>
  <c r="H13" i="5"/>
  <c r="J18" i="4"/>
  <c r="I12" i="9" s="1"/>
  <c r="J42" i="5"/>
  <c r="J45" i="5" s="1"/>
  <c r="F7" i="4"/>
  <c r="G7" i="4" s="1"/>
  <c r="H7" i="4" s="1"/>
  <c r="I7" i="4" s="1"/>
  <c r="F8" i="4"/>
  <c r="Z13" i="5"/>
  <c r="V13" i="5"/>
  <c r="R13" i="5"/>
  <c r="N13" i="5"/>
  <c r="J13" i="5"/>
  <c r="F13" i="5"/>
  <c r="F12" i="4"/>
  <c r="F27" i="5"/>
  <c r="Y13" i="5"/>
  <c r="U13" i="5"/>
  <c r="Q13" i="5"/>
  <c r="M13" i="5"/>
  <c r="I13" i="5"/>
  <c r="F4" i="4"/>
  <c r="G4" i="4" s="1"/>
  <c r="H4" i="4" s="1"/>
  <c r="G18" i="4" l="1"/>
  <c r="E12" i="9"/>
  <c r="J7" i="4"/>
  <c r="K7" i="4" s="1"/>
  <c r="L7" i="4" s="1"/>
  <c r="M7" i="4" s="1"/>
  <c r="N7" i="4" s="1"/>
  <c r="O7" i="4" s="1"/>
  <c r="P7" i="4" s="1"/>
  <c r="Q7" i="4" s="1"/>
  <c r="R7" i="4" s="1"/>
  <c r="S7" i="4" s="1"/>
  <c r="T7" i="4" s="1"/>
  <c r="U7" i="4" s="1"/>
  <c r="V7" i="4" s="1"/>
  <c r="W7" i="4" s="1"/>
  <c r="X7" i="4" s="1"/>
  <c r="Y7" i="4" s="1"/>
  <c r="Z7" i="4" s="1"/>
  <c r="AA7" i="4" s="1"/>
  <c r="AB7" i="4" s="1"/>
  <c r="D7" i="9"/>
  <c r="H7" i="9"/>
  <c r="L7" i="9"/>
  <c r="P7" i="9"/>
  <c r="T7" i="9"/>
  <c r="X7" i="9"/>
  <c r="AB7" i="9"/>
  <c r="C7" i="9"/>
  <c r="V7" i="9"/>
  <c r="G7" i="9"/>
  <c r="W7" i="9"/>
  <c r="E7" i="9"/>
  <c r="I7" i="9"/>
  <c r="M7" i="9"/>
  <c r="U7" i="9"/>
  <c r="Y7" i="9"/>
  <c r="J7" i="9"/>
  <c r="R7" i="9"/>
  <c r="K7" i="9"/>
  <c r="S7" i="9"/>
  <c r="F7" i="9"/>
  <c r="N7" i="9"/>
  <c r="Z7" i="9"/>
  <c r="O7" i="9"/>
  <c r="AA7" i="9"/>
  <c r="G5" i="4"/>
  <c r="F17" i="9" s="1"/>
  <c r="I16" i="3"/>
  <c r="I17" i="3" s="1"/>
  <c r="G6" i="4"/>
  <c r="G8" i="4"/>
  <c r="J48" i="5"/>
  <c r="J56" i="5"/>
  <c r="I6" i="7" s="1"/>
  <c r="J49" i="5"/>
  <c r="K18" i="4"/>
  <c r="J12" i="9" s="1"/>
  <c r="K42" i="5"/>
  <c r="K45" i="5" s="1"/>
  <c r="G13" i="4"/>
  <c r="G52" i="5"/>
  <c r="G12" i="4"/>
  <c r="G27" i="5"/>
  <c r="I4" i="4"/>
  <c r="H18" i="4" l="1"/>
  <c r="G12" i="9" s="1"/>
  <c r="F12" i="9"/>
  <c r="H5" i="4"/>
  <c r="G17" i="9" s="1"/>
  <c r="J16" i="3"/>
  <c r="J17" i="3" s="1"/>
  <c r="H6" i="4"/>
  <c r="H8" i="4"/>
  <c r="H12" i="4"/>
  <c r="H27" i="5"/>
  <c r="H13" i="4"/>
  <c r="H52" i="5"/>
  <c r="K49" i="5"/>
  <c r="K48" i="5"/>
  <c r="K56" i="5"/>
  <c r="J6" i="7" s="1"/>
  <c r="L18" i="4"/>
  <c r="K12" i="9" s="1"/>
  <c r="L42" i="5"/>
  <c r="L45" i="5" s="1"/>
  <c r="J4" i="4"/>
  <c r="I5" i="4" l="1"/>
  <c r="H17" i="9" s="1"/>
  <c r="K16" i="3"/>
  <c r="K17" i="3" s="1"/>
  <c r="I6" i="4"/>
  <c r="I8" i="4"/>
  <c r="I13" i="4"/>
  <c r="I52" i="5"/>
  <c r="M18" i="4"/>
  <c r="L12" i="9" s="1"/>
  <c r="M42" i="5"/>
  <c r="M45" i="5" s="1"/>
  <c r="L48" i="5"/>
  <c r="L49" i="5"/>
  <c r="L56" i="5"/>
  <c r="K6" i="7" s="1"/>
  <c r="I12" i="4"/>
  <c r="I27" i="5"/>
  <c r="K4" i="4"/>
  <c r="J5" i="4" l="1"/>
  <c r="I17" i="9" s="1"/>
  <c r="L16" i="3"/>
  <c r="L17" i="3" s="1"/>
  <c r="J6" i="4"/>
  <c r="J8" i="4"/>
  <c r="M56" i="5"/>
  <c r="L6" i="7" s="1"/>
  <c r="M49" i="5"/>
  <c r="M48" i="5"/>
  <c r="J13" i="4"/>
  <c r="J52" i="5"/>
  <c r="J12" i="4"/>
  <c r="J27" i="5"/>
  <c r="N18" i="4"/>
  <c r="M12" i="9" s="1"/>
  <c r="N42" i="5"/>
  <c r="N45" i="5" s="1"/>
  <c r="L4" i="4"/>
  <c r="K5" i="4" l="1"/>
  <c r="J17" i="9" s="1"/>
  <c r="M16" i="3"/>
  <c r="M17" i="3" s="1"/>
  <c r="K6" i="4"/>
  <c r="K8" i="4"/>
  <c r="K13" i="4"/>
  <c r="K52" i="5"/>
  <c r="N49" i="5"/>
  <c r="N48" i="5"/>
  <c r="N56" i="5"/>
  <c r="M6" i="7" s="1"/>
  <c r="O18" i="4"/>
  <c r="N12" i="9" s="1"/>
  <c r="O42" i="5"/>
  <c r="O45" i="5" s="1"/>
  <c r="K12" i="4"/>
  <c r="K27" i="5"/>
  <c r="M4" i="4"/>
  <c r="L5" i="4" l="1"/>
  <c r="K17" i="9" s="1"/>
  <c r="N16" i="3"/>
  <c r="N17" i="3" s="1"/>
  <c r="L6" i="4"/>
  <c r="L8" i="4"/>
  <c r="P18" i="4"/>
  <c r="O12" i="9" s="1"/>
  <c r="P42" i="5"/>
  <c r="P45" i="5" s="1"/>
  <c r="L13" i="4"/>
  <c r="L52" i="5"/>
  <c r="O48" i="5"/>
  <c r="O49" i="5"/>
  <c r="O56" i="5"/>
  <c r="N6" i="7" s="1"/>
  <c r="L12" i="4"/>
  <c r="L27" i="5"/>
  <c r="N4" i="4"/>
  <c r="M5" i="4" l="1"/>
  <c r="L17" i="9" s="1"/>
  <c r="O16" i="3"/>
  <c r="O17" i="3" s="1"/>
  <c r="M6" i="4"/>
  <c r="M8" i="4"/>
  <c r="P49" i="5"/>
  <c r="P56" i="5"/>
  <c r="O6" i="7" s="1"/>
  <c r="P48" i="5"/>
  <c r="M12" i="4"/>
  <c r="M27" i="5"/>
  <c r="Q18" i="4"/>
  <c r="P12" i="9" s="1"/>
  <c r="Q42" i="5"/>
  <c r="Q45" i="5" s="1"/>
  <c r="M13" i="4"/>
  <c r="M52" i="5"/>
  <c r="O4" i="4"/>
  <c r="N5" i="4" l="1"/>
  <c r="M17" i="9" s="1"/>
  <c r="P16" i="3"/>
  <c r="P17" i="3" s="1"/>
  <c r="N6" i="4"/>
  <c r="N8" i="4"/>
  <c r="Q49" i="5"/>
  <c r="Q56" i="5"/>
  <c r="P6" i="7" s="1"/>
  <c r="Q48" i="5"/>
  <c r="R18" i="4"/>
  <c r="R42" i="5"/>
  <c r="R45" i="5" s="1"/>
  <c r="N12" i="4"/>
  <c r="N27" i="5"/>
  <c r="N13" i="4"/>
  <c r="N52" i="5"/>
  <c r="P4" i="4"/>
  <c r="O5" i="4" l="1"/>
  <c r="N17" i="9" s="1"/>
  <c r="Q16" i="3"/>
  <c r="Q17" i="3" s="1"/>
  <c r="O6" i="4"/>
  <c r="O8" i="4"/>
  <c r="R48" i="5"/>
  <c r="R49" i="5"/>
  <c r="R56" i="5"/>
  <c r="Q6" i="7" s="1"/>
  <c r="O13" i="4"/>
  <c r="O52" i="5"/>
  <c r="S18" i="4"/>
  <c r="S42" i="5"/>
  <c r="S45" i="5" s="1"/>
  <c r="O12" i="4"/>
  <c r="O27" i="5"/>
  <c r="Q4" i="4"/>
  <c r="P5" i="4" l="1"/>
  <c r="O17" i="9" s="1"/>
  <c r="R16" i="3"/>
  <c r="R17" i="3" s="1"/>
  <c r="P6" i="4"/>
  <c r="P8" i="4"/>
  <c r="S49" i="5"/>
  <c r="S56" i="5"/>
  <c r="R6" i="7" s="1"/>
  <c r="S48" i="5"/>
  <c r="P13" i="4"/>
  <c r="P52" i="5"/>
  <c r="T18" i="4"/>
  <c r="T42" i="5"/>
  <c r="T45" i="5" s="1"/>
  <c r="P12" i="4"/>
  <c r="P27" i="5"/>
  <c r="R4" i="4"/>
  <c r="Q5" i="4" l="1"/>
  <c r="P17" i="9" s="1"/>
  <c r="S16" i="3"/>
  <c r="S17" i="3" s="1"/>
  <c r="Q6" i="4"/>
  <c r="Q8" i="4"/>
  <c r="U18" i="4"/>
  <c r="U42" i="5"/>
  <c r="U45" i="5" s="1"/>
  <c r="Q12" i="4"/>
  <c r="Q27" i="5"/>
  <c r="Q13" i="4"/>
  <c r="Q52" i="5"/>
  <c r="T56" i="5"/>
  <c r="S6" i="7" s="1"/>
  <c r="T49" i="5"/>
  <c r="T48" i="5"/>
  <c r="S4" i="4"/>
  <c r="R5" i="4" l="1"/>
  <c r="T16" i="3"/>
  <c r="T17" i="3" s="1"/>
  <c r="R6" i="4"/>
  <c r="R8" i="4"/>
  <c r="U56" i="5"/>
  <c r="T6" i="7" s="1"/>
  <c r="U49" i="5"/>
  <c r="U48" i="5"/>
  <c r="V18" i="4"/>
  <c r="V42" i="5"/>
  <c r="V45" i="5" s="1"/>
  <c r="R12" i="4"/>
  <c r="R27" i="5"/>
  <c r="R13" i="4"/>
  <c r="R52" i="5"/>
  <c r="T4" i="4"/>
  <c r="S5" i="4" l="1"/>
  <c r="R17" i="9" s="1"/>
  <c r="U16" i="3"/>
  <c r="U17" i="3" s="1"/>
  <c r="S6" i="4"/>
  <c r="S8" i="4"/>
  <c r="V56" i="5"/>
  <c r="U6" i="7" s="1"/>
  <c r="V48" i="5"/>
  <c r="V49" i="5"/>
  <c r="W18" i="4"/>
  <c r="W42" i="5"/>
  <c r="W45" i="5" s="1"/>
  <c r="S13" i="4"/>
  <c r="S52" i="5"/>
  <c r="S12" i="4"/>
  <c r="S27" i="5"/>
  <c r="U4" i="4"/>
  <c r="T5" i="4" l="1"/>
  <c r="S17" i="9" s="1"/>
  <c r="V16" i="3"/>
  <c r="V17" i="3" s="1"/>
  <c r="T6" i="4"/>
  <c r="T8" i="4"/>
  <c r="W48" i="5"/>
  <c r="W56" i="5"/>
  <c r="V6" i="7" s="1"/>
  <c r="W49" i="5"/>
  <c r="X18" i="4"/>
  <c r="X42" i="5"/>
  <c r="X45" i="5" s="1"/>
  <c r="T13" i="4"/>
  <c r="T52" i="5"/>
  <c r="T12" i="4"/>
  <c r="T27" i="5"/>
  <c r="V4" i="4"/>
  <c r="U5" i="4" l="1"/>
  <c r="T17" i="9" s="1"/>
  <c r="W16" i="3"/>
  <c r="W17" i="3" s="1"/>
  <c r="U6" i="4"/>
  <c r="U8" i="4"/>
  <c r="X56" i="5"/>
  <c r="W6" i="7" s="1"/>
  <c r="X49" i="5"/>
  <c r="X48" i="5"/>
  <c r="U12" i="4"/>
  <c r="U27" i="5"/>
  <c r="Y18" i="4"/>
  <c r="Y42" i="5"/>
  <c r="Y45" i="5" s="1"/>
  <c r="U13" i="4"/>
  <c r="U52" i="5"/>
  <c r="W4" i="4"/>
  <c r="V5" i="4" l="1"/>
  <c r="U17" i="9" s="1"/>
  <c r="X16" i="3"/>
  <c r="X17" i="3" s="1"/>
  <c r="V6" i="4"/>
  <c r="V8" i="4"/>
  <c r="Y48" i="5"/>
  <c r="Y49" i="5"/>
  <c r="Y56" i="5"/>
  <c r="X6" i="7" s="1"/>
  <c r="Z18" i="4"/>
  <c r="Z42" i="5"/>
  <c r="Z45" i="5" s="1"/>
  <c r="V12" i="4"/>
  <c r="V27" i="5"/>
  <c r="V13" i="4"/>
  <c r="V52" i="5"/>
  <c r="X4" i="4"/>
  <c r="W5" i="4" l="1"/>
  <c r="V17" i="9" s="1"/>
  <c r="Y16" i="3"/>
  <c r="Y17" i="3" s="1"/>
  <c r="W6" i="4"/>
  <c r="W8" i="4"/>
  <c r="W12" i="4"/>
  <c r="W27" i="5"/>
  <c r="Z49" i="5"/>
  <c r="Z48" i="5"/>
  <c r="Z56" i="5"/>
  <c r="Y6" i="7" s="1"/>
  <c r="W13" i="4"/>
  <c r="W52" i="5"/>
  <c r="AA18" i="4"/>
  <c r="AA42" i="5"/>
  <c r="AA45" i="5" s="1"/>
  <c r="Y4" i="4"/>
  <c r="X5" i="4" l="1"/>
  <c r="W17" i="9" s="1"/>
  <c r="Z16" i="3"/>
  <c r="Z17" i="3" s="1"/>
  <c r="X6" i="4"/>
  <c r="X8" i="4"/>
  <c r="AA49" i="5"/>
  <c r="AA48" i="5"/>
  <c r="AA56" i="5"/>
  <c r="Z6" i="7" s="1"/>
  <c r="X13" i="4"/>
  <c r="X52" i="5"/>
  <c r="X12" i="4"/>
  <c r="X27" i="5"/>
  <c r="AB18" i="4"/>
  <c r="AC42" i="5" s="1"/>
  <c r="AC45" i="5" s="1"/>
  <c r="AB42" i="5"/>
  <c r="AB45" i="5" s="1"/>
  <c r="Z4" i="4"/>
  <c r="Y5" i="4" l="1"/>
  <c r="X17" i="9" s="1"/>
  <c r="AA16" i="3"/>
  <c r="AA17" i="3" s="1"/>
  <c r="Y6" i="4"/>
  <c r="Y8" i="4"/>
  <c r="Y13" i="4"/>
  <c r="Y52" i="5"/>
  <c r="AC48" i="5"/>
  <c r="AC56" i="5"/>
  <c r="AB6" i="7" s="1"/>
  <c r="AC49" i="5"/>
  <c r="AB48" i="5"/>
  <c r="AB56" i="5"/>
  <c r="AA6" i="7" s="1"/>
  <c r="AB49" i="5"/>
  <c r="Y12" i="4"/>
  <c r="Y27" i="5"/>
  <c r="AA4" i="4"/>
  <c r="Z5" i="4" l="1"/>
  <c r="Y17" i="9" s="1"/>
  <c r="AB16" i="3"/>
  <c r="AB17" i="3" s="1"/>
  <c r="Z6" i="4"/>
  <c r="Z8" i="4"/>
  <c r="Z13" i="4"/>
  <c r="Z52" i="5"/>
  <c r="Z12" i="4"/>
  <c r="Z27" i="5"/>
  <c r="AB4" i="4"/>
  <c r="AA5" i="4" l="1"/>
  <c r="Z17" i="9" s="1"/>
  <c r="AC16" i="3"/>
  <c r="AC17" i="3" s="1"/>
  <c r="AA6" i="4"/>
  <c r="AA8" i="4"/>
  <c r="AA12" i="4"/>
  <c r="AA27" i="5"/>
  <c r="AA13" i="4"/>
  <c r="AA52" i="5"/>
  <c r="G9" i="3"/>
  <c r="H9" i="3" s="1"/>
  <c r="H12" i="3" s="1"/>
  <c r="C4" i="3"/>
  <c r="Z4" i="6" s="1"/>
  <c r="Z16" i="7" s="1"/>
  <c r="AB5" i="4" l="1"/>
  <c r="AD16" i="3"/>
  <c r="AD17" i="3" s="1"/>
  <c r="AB6" i="4"/>
  <c r="AB8" i="4"/>
  <c r="D4" i="6"/>
  <c r="D16" i="7" s="1"/>
  <c r="E4" i="6"/>
  <c r="F4" i="6"/>
  <c r="F16" i="7" s="1"/>
  <c r="G4" i="6"/>
  <c r="G16" i="7" s="1"/>
  <c r="H4" i="6"/>
  <c r="H16" i="7" s="1"/>
  <c r="I4" i="6"/>
  <c r="I16" i="7" s="1"/>
  <c r="J4" i="6"/>
  <c r="J16" i="7" s="1"/>
  <c r="K4" i="6"/>
  <c r="K16" i="7" s="1"/>
  <c r="L4" i="6"/>
  <c r="L16" i="7" s="1"/>
  <c r="M4" i="6"/>
  <c r="M16" i="7" s="1"/>
  <c r="N4" i="6"/>
  <c r="N16" i="7" s="1"/>
  <c r="O4" i="6"/>
  <c r="O16" i="7" s="1"/>
  <c r="P4" i="6"/>
  <c r="P16" i="7" s="1"/>
  <c r="Q4" i="6"/>
  <c r="Q16" i="7" s="1"/>
  <c r="R4" i="6"/>
  <c r="R16" i="7" s="1"/>
  <c r="S4" i="6"/>
  <c r="S16" i="7" s="1"/>
  <c r="T4" i="6"/>
  <c r="T16" i="7" s="1"/>
  <c r="U4" i="6"/>
  <c r="U16" i="7" s="1"/>
  <c r="V4" i="6"/>
  <c r="V16" i="7" s="1"/>
  <c r="W4" i="6"/>
  <c r="W16" i="7" s="1"/>
  <c r="X4" i="6"/>
  <c r="X16" i="7" s="1"/>
  <c r="Y4" i="6"/>
  <c r="Y16" i="7" s="1"/>
  <c r="AB12" i="4"/>
  <c r="AA4" i="6"/>
  <c r="AA16" i="7" s="1"/>
  <c r="AB27" i="5"/>
  <c r="AB13" i="4"/>
  <c r="AC52" i="5" s="1"/>
  <c r="AB52" i="5"/>
  <c r="AE16" i="3" l="1"/>
  <c r="AE17" i="3" s="1"/>
  <c r="AA17" i="9"/>
  <c r="E5" i="6"/>
  <c r="F5" i="6" s="1"/>
  <c r="G5" i="6" s="1"/>
  <c r="H5" i="6" s="1"/>
  <c r="I5" i="6" s="1"/>
  <c r="J5" i="6" s="1"/>
  <c r="K5" i="6" s="1"/>
  <c r="L5" i="6" s="1"/>
  <c r="M5" i="6" s="1"/>
  <c r="N5" i="6" s="1"/>
  <c r="O5" i="6" s="1"/>
  <c r="P5" i="6" s="1"/>
  <c r="Q5" i="6" s="1"/>
  <c r="R5" i="6" s="1"/>
  <c r="S5" i="6" s="1"/>
  <c r="T5" i="6" s="1"/>
  <c r="U5" i="6" s="1"/>
  <c r="V5" i="6" s="1"/>
  <c r="W5" i="6" s="1"/>
  <c r="X5" i="6" s="1"/>
  <c r="Y5" i="6" s="1"/>
  <c r="Z5" i="6" s="1"/>
  <c r="AA5" i="6" s="1"/>
  <c r="E16" i="7"/>
  <c r="E17" i="7" s="1"/>
  <c r="F17" i="7" s="1"/>
  <c r="G17" i="7" s="1"/>
  <c r="H17" i="7" s="1"/>
  <c r="I17" i="7" s="1"/>
  <c r="J17" i="7" s="1"/>
  <c r="K17" i="7" s="1"/>
  <c r="L17" i="7" s="1"/>
  <c r="M17" i="7" s="1"/>
  <c r="N17" i="7" s="1"/>
  <c r="O17" i="7" s="1"/>
  <c r="P17" i="7" s="1"/>
  <c r="Q17" i="7" s="1"/>
  <c r="R17" i="7" s="1"/>
  <c r="S17" i="7" s="1"/>
  <c r="T17" i="7" s="1"/>
  <c r="U17" i="7" s="1"/>
  <c r="V17" i="7" s="1"/>
  <c r="W17" i="7" s="1"/>
  <c r="X17" i="7" s="1"/>
  <c r="Y17" i="7" s="1"/>
  <c r="Z17" i="7" s="1"/>
  <c r="AA17" i="7" s="1"/>
  <c r="AB4" i="6"/>
  <c r="AB16" i="7" s="1"/>
  <c r="AC27" i="5"/>
  <c r="AB17" i="7" l="1"/>
  <c r="AB5" i="6"/>
  <c r="G12" i="3" l="1"/>
  <c r="Z4" i="5" s="1"/>
  <c r="Z6" i="5" s="1"/>
  <c r="Z11" i="5" l="1"/>
  <c r="Z12" i="5" s="1"/>
  <c r="Z14" i="5" s="1"/>
  <c r="Z59" i="5" s="1"/>
  <c r="G4" i="5"/>
  <c r="G6" i="5" s="1"/>
  <c r="K4" i="5"/>
  <c r="K6" i="5" s="1"/>
  <c r="O4" i="5"/>
  <c r="O6" i="5" s="1"/>
  <c r="S4" i="5"/>
  <c r="S6" i="5" s="1"/>
  <c r="W4" i="5"/>
  <c r="W6" i="5" s="1"/>
  <c r="AA4" i="5"/>
  <c r="AA6" i="5" s="1"/>
  <c r="H4" i="5"/>
  <c r="H6" i="5" s="1"/>
  <c r="L4" i="5"/>
  <c r="L6" i="5" s="1"/>
  <c r="P4" i="5"/>
  <c r="P6" i="5" s="1"/>
  <c r="T4" i="5"/>
  <c r="T6" i="5" s="1"/>
  <c r="X4" i="5"/>
  <c r="X6" i="5" s="1"/>
  <c r="AB4" i="5"/>
  <c r="AB6" i="5" s="1"/>
  <c r="E4" i="5"/>
  <c r="E6" i="5" s="1"/>
  <c r="I4" i="5"/>
  <c r="I6" i="5" s="1"/>
  <c r="M4" i="5"/>
  <c r="M6" i="5" s="1"/>
  <c r="Q4" i="5"/>
  <c r="Q6" i="5" s="1"/>
  <c r="U4" i="5"/>
  <c r="U6" i="5" s="1"/>
  <c r="Y4" i="5"/>
  <c r="Y6" i="5" s="1"/>
  <c r="AC4" i="5"/>
  <c r="AC6" i="5" s="1"/>
  <c r="N4" i="5"/>
  <c r="N6" i="5" s="1"/>
  <c r="R4" i="5"/>
  <c r="R6" i="5" s="1"/>
  <c r="F4" i="5"/>
  <c r="F6" i="5" s="1"/>
  <c r="V4" i="5"/>
  <c r="V6" i="5" s="1"/>
  <c r="G14" i="3"/>
  <c r="D3" i="7" s="1"/>
  <c r="G15" i="3"/>
  <c r="Y11" i="9" s="1"/>
  <c r="J4" i="5"/>
  <c r="J6" i="5" s="1"/>
  <c r="H14" i="3" l="1"/>
  <c r="Y11" i="5"/>
  <c r="Y12" i="5" s="1"/>
  <c r="Y14" i="5" s="1"/>
  <c r="Y59" i="5" s="1"/>
  <c r="T11" i="5"/>
  <c r="T12" i="5" s="1"/>
  <c r="T14" i="5" s="1"/>
  <c r="T59" i="5" s="1"/>
  <c r="R11" i="5"/>
  <c r="R12" i="5" s="1"/>
  <c r="R14" i="5" s="1"/>
  <c r="R59" i="5" s="1"/>
  <c r="U11" i="5"/>
  <c r="U12" i="5" s="1"/>
  <c r="U14" i="5" s="1"/>
  <c r="U59" i="5" s="1"/>
  <c r="E11" i="5"/>
  <c r="E12" i="5" s="1"/>
  <c r="E14" i="5" s="1"/>
  <c r="E59" i="5" s="1"/>
  <c r="P11" i="5"/>
  <c r="P12" i="5" s="1"/>
  <c r="P14" i="5" s="1"/>
  <c r="P59" i="5" s="1"/>
  <c r="W11" i="5"/>
  <c r="W12" i="5" s="1"/>
  <c r="W14" i="5" s="1"/>
  <c r="W59" i="5" s="1"/>
  <c r="G11" i="5"/>
  <c r="G12" i="5" s="1"/>
  <c r="G14" i="5" s="1"/>
  <c r="G59" i="5" s="1"/>
  <c r="F11" i="5"/>
  <c r="F12" i="5" s="1"/>
  <c r="F14" i="5" s="1"/>
  <c r="F59" i="5" s="1"/>
  <c r="AA11" i="5"/>
  <c r="AA12" i="5" s="1"/>
  <c r="AA14" i="5" s="1"/>
  <c r="AA59" i="5" s="1"/>
  <c r="AB11" i="5"/>
  <c r="AB12" i="5" s="1"/>
  <c r="AB14" i="5" s="1"/>
  <c r="AB59" i="5" s="1"/>
  <c r="J11" i="5"/>
  <c r="J12" i="5" s="1"/>
  <c r="J14" i="5" s="1"/>
  <c r="J59" i="5" s="1"/>
  <c r="I11" i="5"/>
  <c r="I12" i="5" s="1"/>
  <c r="I14" i="5" s="1"/>
  <c r="I59" i="5" s="1"/>
  <c r="K11" i="5"/>
  <c r="K12" i="5" s="1"/>
  <c r="K14" i="5" s="1"/>
  <c r="K59" i="5" s="1"/>
  <c r="F17" i="5"/>
  <c r="J17" i="5"/>
  <c r="N17" i="5"/>
  <c r="R17" i="5"/>
  <c r="V17" i="5"/>
  <c r="Z17" i="5"/>
  <c r="G17" i="5"/>
  <c r="K17" i="5"/>
  <c r="O17" i="5"/>
  <c r="S17" i="5"/>
  <c r="W17" i="5"/>
  <c r="AA17" i="5"/>
  <c r="H17" i="5"/>
  <c r="L17" i="5"/>
  <c r="P17" i="5"/>
  <c r="T17" i="5"/>
  <c r="X17" i="5"/>
  <c r="AB17" i="5"/>
  <c r="Q17" i="5"/>
  <c r="E31" i="5"/>
  <c r="E17" i="5"/>
  <c r="E19" i="5" s="1"/>
  <c r="U17" i="5"/>
  <c r="I17" i="5"/>
  <c r="Y17" i="5"/>
  <c r="M17" i="5"/>
  <c r="AC17" i="5"/>
  <c r="N11" i="5"/>
  <c r="N12" i="5" s="1"/>
  <c r="N14" i="5" s="1"/>
  <c r="N59" i="5" s="1"/>
  <c r="Q11" i="5"/>
  <c r="Q12" i="5" s="1"/>
  <c r="Q14" i="5" s="1"/>
  <c r="Q59" i="5" s="1"/>
  <c r="L11" i="5"/>
  <c r="L12" i="5" s="1"/>
  <c r="L14" i="5" s="1"/>
  <c r="L59" i="5" s="1"/>
  <c r="S11" i="5"/>
  <c r="S12" i="5" s="1"/>
  <c r="S14" i="5" s="1"/>
  <c r="S59" i="5" s="1"/>
  <c r="V11" i="5"/>
  <c r="V12" i="5" s="1"/>
  <c r="V14" i="5" s="1"/>
  <c r="V59" i="5" s="1"/>
  <c r="AC11" i="5"/>
  <c r="AC12" i="5" s="1"/>
  <c r="AC14" i="5" s="1"/>
  <c r="AC59" i="5" s="1"/>
  <c r="M11" i="5"/>
  <c r="M12" i="5" s="1"/>
  <c r="M14" i="5" s="1"/>
  <c r="M59" i="5" s="1"/>
  <c r="X11" i="5"/>
  <c r="X12" i="5" s="1"/>
  <c r="X14" i="5" s="1"/>
  <c r="X59" i="5" s="1"/>
  <c r="H11" i="5"/>
  <c r="H12" i="5" s="1"/>
  <c r="H14" i="5" s="1"/>
  <c r="H59" i="5" s="1"/>
  <c r="O11" i="5"/>
  <c r="O12" i="5" s="1"/>
  <c r="O14" i="5" s="1"/>
  <c r="O59" i="5" s="1"/>
  <c r="F31" i="5" l="1"/>
  <c r="E33" i="5"/>
  <c r="E22" i="5"/>
  <c r="G31" i="5" l="1"/>
  <c r="F33" i="5"/>
  <c r="G34" i="5"/>
  <c r="K34" i="5"/>
  <c r="O34" i="5"/>
  <c r="H34" i="5"/>
  <c r="L34" i="5"/>
  <c r="P34" i="5"/>
  <c r="E34" i="5"/>
  <c r="E35" i="5" s="1"/>
  <c r="I34" i="5"/>
  <c r="M34" i="5"/>
  <c r="Q34" i="5"/>
  <c r="J34" i="5"/>
  <c r="N34" i="5"/>
  <c r="F34" i="5"/>
  <c r="F35" i="5" s="1"/>
  <c r="F57" i="5" s="1"/>
  <c r="E14" i="7" l="1"/>
  <c r="E36" i="5"/>
  <c r="E57" i="5"/>
  <c r="E24" i="5"/>
  <c r="H31" i="5"/>
  <c r="G35" i="5"/>
  <c r="G57" i="5" s="1"/>
  <c r="G33" i="5"/>
  <c r="F14" i="7" l="1"/>
  <c r="F36" i="5"/>
  <c r="E39" i="5"/>
  <c r="D14" i="7"/>
  <c r="H33" i="5"/>
  <c r="I31" i="5"/>
  <c r="H35" i="5"/>
  <c r="H57" i="5" s="1"/>
  <c r="F18" i="5"/>
  <c r="E25" i="5"/>
  <c r="E26" i="5" s="1"/>
  <c r="E28" i="5" s="1"/>
  <c r="E58" i="5" s="1"/>
  <c r="D4" i="7" s="1"/>
  <c r="I33" i="5" l="1"/>
  <c r="J31" i="5"/>
  <c r="I35" i="5"/>
  <c r="I57" i="5" s="1"/>
  <c r="G36" i="5"/>
  <c r="F39" i="5"/>
  <c r="F19" i="5"/>
  <c r="G14" i="7"/>
  <c r="K31" i="5" l="1"/>
  <c r="J35" i="5"/>
  <c r="J57" i="5" s="1"/>
  <c r="J33" i="5"/>
  <c r="H36" i="5"/>
  <c r="G39" i="5"/>
  <c r="H14" i="7"/>
  <c r="F22" i="5"/>
  <c r="F24" i="5" s="1"/>
  <c r="G18" i="5" s="1"/>
  <c r="F25" i="5" l="1"/>
  <c r="F26" i="5" s="1"/>
  <c r="F28" i="5" s="1"/>
  <c r="F58" i="5" s="1"/>
  <c r="E4" i="7" s="1"/>
  <c r="I14" i="7"/>
  <c r="I36" i="5"/>
  <c r="H39" i="5"/>
  <c r="G19" i="5"/>
  <c r="L31" i="5"/>
  <c r="K35" i="5"/>
  <c r="K57" i="5" s="1"/>
  <c r="K33" i="5"/>
  <c r="G22" i="5" l="1"/>
  <c r="G24" i="5" s="1"/>
  <c r="H18" i="5" s="1"/>
  <c r="J14" i="7"/>
  <c r="M31" i="5"/>
  <c r="L33" i="5"/>
  <c r="L35" i="5"/>
  <c r="L57" i="5" s="1"/>
  <c r="J36" i="5"/>
  <c r="I39" i="5"/>
  <c r="N31" i="5" l="1"/>
  <c r="M33" i="5"/>
  <c r="M35" i="5"/>
  <c r="M57" i="5" s="1"/>
  <c r="K36" i="5"/>
  <c r="J39" i="5"/>
  <c r="H19" i="5"/>
  <c r="K14" i="7"/>
  <c r="G25" i="5"/>
  <c r="G26" i="5" s="1"/>
  <c r="G28" i="5" s="1"/>
  <c r="G58" i="5" s="1"/>
  <c r="L14" i="7" l="1"/>
  <c r="F4" i="7"/>
  <c r="L36" i="5"/>
  <c r="K39" i="5"/>
  <c r="H22" i="5"/>
  <c r="H24" i="5" s="1"/>
  <c r="I18" i="5" s="1"/>
  <c r="O31" i="5"/>
  <c r="N35" i="5"/>
  <c r="N57" i="5" s="1"/>
  <c r="N33" i="5"/>
  <c r="H25" i="5" l="1"/>
  <c r="H26" i="5" s="1"/>
  <c r="H28" i="5" s="1"/>
  <c r="H58" i="5" s="1"/>
  <c r="G4" i="7" s="1"/>
  <c r="I19" i="5"/>
  <c r="M14" i="7"/>
  <c r="P31" i="5"/>
  <c r="O35" i="5"/>
  <c r="O57" i="5" s="1"/>
  <c r="O33" i="5"/>
  <c r="M36" i="5"/>
  <c r="L39" i="5"/>
  <c r="N36" i="5" l="1"/>
  <c r="M39" i="5"/>
  <c r="N14" i="7"/>
  <c r="I22" i="5"/>
  <c r="I24" i="5" s="1"/>
  <c r="J18" i="5" s="1"/>
  <c r="P33" i="5"/>
  <c r="Q31" i="5"/>
  <c r="P35" i="5"/>
  <c r="P57" i="5" s="1"/>
  <c r="I25" i="5" l="1"/>
  <c r="I26" i="5" s="1"/>
  <c r="I28" i="5" s="1"/>
  <c r="I58" i="5" s="1"/>
  <c r="Q33" i="5"/>
  <c r="Q35" i="5"/>
  <c r="Q57" i="5" s="1"/>
  <c r="R31" i="5"/>
  <c r="O14" i="7"/>
  <c r="J19" i="5"/>
  <c r="O36" i="5"/>
  <c r="N39" i="5"/>
  <c r="H4" i="7" l="1"/>
  <c r="S31" i="5"/>
  <c r="R33" i="5"/>
  <c r="P14" i="7"/>
  <c r="O39" i="5"/>
  <c r="P36" i="5"/>
  <c r="J22" i="5"/>
  <c r="J24" i="5" s="1"/>
  <c r="K18" i="5" s="1"/>
  <c r="J25" i="5" l="1"/>
  <c r="J26" i="5" s="1"/>
  <c r="J28" i="5" s="1"/>
  <c r="J58" i="5" s="1"/>
  <c r="I4" i="7" s="1"/>
  <c r="Q36" i="5"/>
  <c r="P39" i="5"/>
  <c r="K19" i="5"/>
  <c r="T31" i="5"/>
  <c r="S33" i="5"/>
  <c r="K22" i="5" l="1"/>
  <c r="K24" i="5" s="1"/>
  <c r="L18" i="5" s="1"/>
  <c r="Q39" i="5"/>
  <c r="T34" i="5"/>
  <c r="T35" i="5" s="1"/>
  <c r="T57" i="5" s="1"/>
  <c r="Y34" i="5"/>
  <c r="V34" i="5"/>
  <c r="X34" i="5"/>
  <c r="U34" i="5"/>
  <c r="R34" i="5"/>
  <c r="R35" i="5" s="1"/>
  <c r="R57" i="5" s="1"/>
  <c r="S34" i="5"/>
  <c r="S35" i="5" s="1"/>
  <c r="S57" i="5" s="1"/>
  <c r="AC34" i="5"/>
  <c r="AA34" i="5"/>
  <c r="W34" i="5"/>
  <c r="AB34" i="5"/>
  <c r="Z34" i="5"/>
  <c r="U31" i="5"/>
  <c r="T33" i="5"/>
  <c r="L19" i="5" l="1"/>
  <c r="V31" i="5"/>
  <c r="U33" i="5"/>
  <c r="U35" i="5"/>
  <c r="U57" i="5" s="1"/>
  <c r="K25" i="5"/>
  <c r="K26" i="5" s="1"/>
  <c r="K28" i="5" s="1"/>
  <c r="K58" i="5" s="1"/>
  <c r="Q14" i="7"/>
  <c r="S14" i="7"/>
  <c r="R14" i="7"/>
  <c r="R36" i="5"/>
  <c r="V35" i="5" l="1"/>
  <c r="V57" i="5" s="1"/>
  <c r="W31" i="5"/>
  <c r="V33" i="5"/>
  <c r="J4" i="7"/>
  <c r="L22" i="5"/>
  <c r="L24" i="5" s="1"/>
  <c r="M18" i="5" s="1"/>
  <c r="S36" i="5"/>
  <c r="R39" i="5"/>
  <c r="T14" i="7"/>
  <c r="L25" i="5" l="1"/>
  <c r="L26" i="5" s="1"/>
  <c r="L28" i="5" s="1"/>
  <c r="L58" i="5" s="1"/>
  <c r="M19" i="5"/>
  <c r="W35" i="5"/>
  <c r="W57" i="5" s="1"/>
  <c r="W33" i="5"/>
  <c r="X31" i="5"/>
  <c r="S39" i="5"/>
  <c r="T36" i="5"/>
  <c r="U14" i="7"/>
  <c r="U36" i="5" l="1"/>
  <c r="T39" i="5"/>
  <c r="V14" i="7"/>
  <c r="M22" i="5"/>
  <c r="M24" i="5" s="1"/>
  <c r="N18" i="5" s="1"/>
  <c r="Y31" i="5"/>
  <c r="X33" i="5"/>
  <c r="X35" i="5"/>
  <c r="X57" i="5" s="1"/>
  <c r="K4" i="7"/>
  <c r="M25" i="5" l="1"/>
  <c r="M26" i="5" s="1"/>
  <c r="M28" i="5" s="1"/>
  <c r="M58" i="5" s="1"/>
  <c r="Z31" i="5"/>
  <c r="Y33" i="5"/>
  <c r="Y35" i="5"/>
  <c r="Y57" i="5" s="1"/>
  <c r="W14" i="7"/>
  <c r="N19" i="5"/>
  <c r="V36" i="5"/>
  <c r="U39" i="5"/>
  <c r="L4" i="7" l="1"/>
  <c r="X14" i="7"/>
  <c r="W36" i="5"/>
  <c r="V39" i="5"/>
  <c r="N22" i="5"/>
  <c r="N24" i="5" s="1"/>
  <c r="O18" i="5" s="1"/>
  <c r="Z35" i="5"/>
  <c r="Z57" i="5" s="1"/>
  <c r="AA31" i="5"/>
  <c r="Z33" i="5"/>
  <c r="AA35" i="5" l="1"/>
  <c r="AA57" i="5" s="1"/>
  <c r="AB31" i="5"/>
  <c r="AA33" i="5"/>
  <c r="Y14" i="7"/>
  <c r="O19" i="5"/>
  <c r="N25" i="5"/>
  <c r="N26" i="5" s="1"/>
  <c r="N28" i="5" s="1"/>
  <c r="N58" i="5" s="1"/>
  <c r="X36" i="5"/>
  <c r="W39" i="5"/>
  <c r="M4" i="7" l="1"/>
  <c r="O22" i="5"/>
  <c r="O24" i="5" s="1"/>
  <c r="P18" i="5" s="1"/>
  <c r="Y36" i="5"/>
  <c r="X39" i="5"/>
  <c r="AC31" i="5"/>
  <c r="AB33" i="5"/>
  <c r="AB35" i="5"/>
  <c r="AB57" i="5" s="1"/>
  <c r="Z14" i="7"/>
  <c r="AC33" i="5" l="1"/>
  <c r="AB9" i="7" s="1"/>
  <c r="AC35" i="5"/>
  <c r="AC57" i="5" s="1"/>
  <c r="O25" i="5"/>
  <c r="O26" i="5" s="1"/>
  <c r="O28" i="5" s="1"/>
  <c r="O58" i="5" s="1"/>
  <c r="P19" i="5"/>
  <c r="AA14" i="7"/>
  <c r="Z36" i="5"/>
  <c r="Y39" i="5"/>
  <c r="N4" i="7" l="1"/>
  <c r="AA36" i="5"/>
  <c r="Z39" i="5"/>
  <c r="P22" i="5"/>
  <c r="P24" i="5" s="1"/>
  <c r="Q18" i="5" s="1"/>
  <c r="AB14" i="7"/>
  <c r="P25" i="5" l="1"/>
  <c r="P26" i="5" s="1"/>
  <c r="P28" i="5" s="1"/>
  <c r="P58" i="5" s="1"/>
  <c r="AB36" i="5"/>
  <c r="AA39" i="5"/>
  <c r="Q19" i="5"/>
  <c r="AC36" i="5" l="1"/>
  <c r="AC39" i="5" s="1"/>
  <c r="AB39" i="5"/>
  <c r="Q22" i="5"/>
  <c r="Q24" i="5" s="1"/>
  <c r="R18" i="5" s="1"/>
  <c r="O4" i="7"/>
  <c r="Q25" i="5" l="1"/>
  <c r="Q26" i="5" s="1"/>
  <c r="Q28" i="5" s="1"/>
  <c r="Q58" i="5" s="1"/>
  <c r="R19" i="5"/>
  <c r="P4" i="7" l="1"/>
  <c r="R22" i="5"/>
  <c r="R24" i="5" s="1"/>
  <c r="S18" i="5" s="1"/>
  <c r="R25" i="5" l="1"/>
  <c r="R26" i="5" s="1"/>
  <c r="R28" i="5" s="1"/>
  <c r="R58" i="5" s="1"/>
  <c r="S19" i="5"/>
  <c r="S22" i="5" l="1"/>
  <c r="S24" i="5" s="1"/>
  <c r="T18" i="5" s="1"/>
  <c r="Q4" i="7"/>
  <c r="T19" i="5" l="1"/>
  <c r="S25" i="5"/>
  <c r="S26" i="5" s="1"/>
  <c r="S28" i="5" s="1"/>
  <c r="S58" i="5" s="1"/>
  <c r="T22" i="5" l="1"/>
  <c r="T24" i="5" s="1"/>
  <c r="U18" i="5" s="1"/>
  <c r="R4" i="7"/>
  <c r="U19" i="5" l="1"/>
  <c r="T25" i="5"/>
  <c r="T26" i="5" s="1"/>
  <c r="T28" i="5" s="1"/>
  <c r="T58" i="5" s="1"/>
  <c r="U22" i="5" l="1"/>
  <c r="U24" i="5" s="1"/>
  <c r="V18" i="5" s="1"/>
  <c r="S4" i="7"/>
  <c r="V19" i="5" l="1"/>
  <c r="U25" i="5"/>
  <c r="U26" i="5" s="1"/>
  <c r="U28" i="5" s="1"/>
  <c r="U58" i="5" s="1"/>
  <c r="V22" i="5" l="1"/>
  <c r="V24" i="5" s="1"/>
  <c r="W18" i="5" s="1"/>
  <c r="T4" i="7"/>
  <c r="V25" i="5" l="1"/>
  <c r="V26" i="5" s="1"/>
  <c r="V28" i="5" s="1"/>
  <c r="V58" i="5" s="1"/>
  <c r="W19" i="5"/>
  <c r="W22" i="5" l="1"/>
  <c r="W24" i="5" s="1"/>
  <c r="X18" i="5" s="1"/>
  <c r="U4" i="7"/>
  <c r="X19" i="5" l="1"/>
  <c r="W25" i="5"/>
  <c r="W26" i="5" s="1"/>
  <c r="W28" i="5" s="1"/>
  <c r="W58" i="5" s="1"/>
  <c r="X22" i="5" l="1"/>
  <c r="X24" i="5" s="1"/>
  <c r="Y18" i="5" s="1"/>
  <c r="V4" i="7"/>
  <c r="Y19" i="5" l="1"/>
  <c r="X25" i="5"/>
  <c r="X26" i="5" s="1"/>
  <c r="X28" i="5" s="1"/>
  <c r="X58" i="5" s="1"/>
  <c r="W4" i="7" l="1"/>
  <c r="Y22" i="5"/>
  <c r="Y24" i="5" s="1"/>
  <c r="Z18" i="5" s="1"/>
  <c r="Y25" i="5" l="1"/>
  <c r="Y26" i="5" s="1"/>
  <c r="Y28" i="5" s="1"/>
  <c r="Y58" i="5" s="1"/>
  <c r="X4" i="7" s="1"/>
  <c r="Z19" i="5"/>
  <c r="Z22" i="5" l="1"/>
  <c r="Z24" i="5" s="1"/>
  <c r="AA18" i="5" s="1"/>
  <c r="AA19" i="5" l="1"/>
  <c r="Z25" i="5"/>
  <c r="Z26" i="5" s="1"/>
  <c r="Z28" i="5" s="1"/>
  <c r="Z58" i="5" s="1"/>
  <c r="Y4" i="7" l="1"/>
  <c r="AA22" i="5"/>
  <c r="AA24" i="5" s="1"/>
  <c r="AB18" i="5" s="1"/>
  <c r="AB19" i="5" l="1"/>
  <c r="AA25" i="5"/>
  <c r="AA26" i="5" s="1"/>
  <c r="AA28" i="5" s="1"/>
  <c r="AA58" i="5" s="1"/>
  <c r="AB22" i="5" l="1"/>
  <c r="AB24" i="5" s="1"/>
  <c r="AC18" i="5" s="1"/>
  <c r="AC19" i="5" s="1"/>
  <c r="Z4" i="7"/>
  <c r="AC22" i="5" l="1"/>
  <c r="AC24" i="5" s="1"/>
  <c r="AC25" i="5" s="1"/>
  <c r="AC26" i="5" s="1"/>
  <c r="AC28" i="5" s="1"/>
  <c r="AC58" i="5" s="1"/>
  <c r="AB25" i="5"/>
  <c r="AB26" i="5" s="1"/>
  <c r="AB28" i="5" s="1"/>
  <c r="AB58" i="5" s="1"/>
  <c r="AB4" i="7" l="1"/>
  <c r="AA4" i="7"/>
  <c r="E50" i="5"/>
  <c r="F50" i="5"/>
  <c r="G50" i="5"/>
  <c r="H50" i="5"/>
  <c r="I50" i="5"/>
  <c r="J50" i="5"/>
  <c r="K50" i="5"/>
  <c r="L50" i="5"/>
  <c r="M50" i="5"/>
  <c r="N50" i="5"/>
  <c r="O50" i="5"/>
  <c r="P50" i="5"/>
  <c r="Q50" i="5"/>
  <c r="R50" i="5"/>
  <c r="S50" i="5"/>
  <c r="T50" i="5"/>
  <c r="U50" i="5"/>
  <c r="V50" i="5"/>
  <c r="W50" i="5"/>
  <c r="X50" i="5"/>
  <c r="Y50" i="5"/>
  <c r="Z50" i="5"/>
  <c r="AA50" i="5"/>
  <c r="AB50" i="5"/>
  <c r="AC50" i="5"/>
  <c r="E51" i="5"/>
  <c r="F51" i="5"/>
  <c r="G51" i="5"/>
  <c r="H51" i="5"/>
  <c r="I51" i="5"/>
  <c r="J51" i="5"/>
  <c r="K51" i="5"/>
  <c r="L51" i="5"/>
  <c r="M51" i="5"/>
  <c r="N51" i="5"/>
  <c r="O51" i="5"/>
  <c r="P51" i="5"/>
  <c r="Q51" i="5"/>
  <c r="R51" i="5"/>
  <c r="S51" i="5"/>
  <c r="T51" i="5"/>
  <c r="U51" i="5"/>
  <c r="V51" i="5"/>
  <c r="W51" i="5"/>
  <c r="X51" i="5"/>
  <c r="Y51" i="5"/>
  <c r="Z51" i="5"/>
  <c r="AA51" i="5"/>
  <c r="AB51" i="5"/>
  <c r="AC51" i="5"/>
  <c r="E53" i="5"/>
  <c r="F53" i="5"/>
  <c r="G53" i="5"/>
  <c r="H53" i="5"/>
  <c r="I53" i="5"/>
  <c r="J53" i="5"/>
  <c r="K53" i="5"/>
  <c r="L53" i="5"/>
  <c r="M53" i="5"/>
  <c r="N53" i="5"/>
  <c r="O53" i="5"/>
  <c r="P53" i="5"/>
  <c r="Q53" i="5"/>
  <c r="R53" i="5"/>
  <c r="S53" i="5"/>
  <c r="T53" i="5"/>
  <c r="U53" i="5"/>
  <c r="V53" i="5"/>
  <c r="W53" i="5"/>
  <c r="X53" i="5"/>
  <c r="Y53" i="5"/>
  <c r="Z53" i="5"/>
  <c r="AA53" i="5"/>
  <c r="AB53" i="5"/>
  <c r="AC53" i="5"/>
  <c r="E60" i="5"/>
  <c r="F60" i="5"/>
  <c r="G60" i="5"/>
  <c r="H60" i="5"/>
  <c r="I60" i="5"/>
  <c r="J60" i="5"/>
  <c r="K60" i="5"/>
  <c r="L60" i="5"/>
  <c r="M60" i="5"/>
  <c r="N60" i="5"/>
  <c r="O60" i="5"/>
  <c r="P60" i="5"/>
  <c r="Q60" i="5"/>
  <c r="R60" i="5"/>
  <c r="S60" i="5"/>
  <c r="T60" i="5"/>
  <c r="U60" i="5"/>
  <c r="V60" i="5"/>
  <c r="W60" i="5"/>
  <c r="X60" i="5"/>
  <c r="Y60" i="5"/>
  <c r="Z60" i="5"/>
  <c r="AA60" i="5"/>
  <c r="AB60" i="5"/>
  <c r="AC60" i="5"/>
  <c r="E61" i="5"/>
  <c r="F61" i="5"/>
  <c r="G61" i="5"/>
  <c r="H61" i="5"/>
  <c r="I61" i="5"/>
  <c r="J61" i="5"/>
  <c r="K61" i="5"/>
  <c r="L61" i="5"/>
  <c r="M61" i="5"/>
  <c r="N61" i="5"/>
  <c r="O61" i="5"/>
  <c r="P61" i="5"/>
  <c r="Q61" i="5"/>
  <c r="R61" i="5"/>
  <c r="S61" i="5"/>
  <c r="T61" i="5"/>
  <c r="U61" i="5"/>
  <c r="V61" i="5"/>
  <c r="W61" i="5"/>
  <c r="X61" i="5"/>
  <c r="Y61" i="5"/>
  <c r="Z61" i="5"/>
  <c r="AA61" i="5"/>
  <c r="AB61" i="5"/>
  <c r="AC61" i="5"/>
  <c r="E62" i="5"/>
  <c r="F62" i="5"/>
  <c r="G62" i="5"/>
  <c r="H62" i="5"/>
  <c r="I62" i="5"/>
  <c r="J62" i="5"/>
  <c r="K62" i="5"/>
  <c r="L62" i="5"/>
  <c r="M62" i="5"/>
  <c r="N62" i="5"/>
  <c r="O62" i="5"/>
  <c r="P62" i="5"/>
  <c r="Q62" i="5"/>
  <c r="R62" i="5"/>
  <c r="S62" i="5"/>
  <c r="T62" i="5"/>
  <c r="U62" i="5"/>
  <c r="V62" i="5"/>
  <c r="W62" i="5"/>
  <c r="X62" i="5"/>
  <c r="Y62" i="5"/>
  <c r="Z62" i="5"/>
  <c r="AA62" i="5"/>
  <c r="AB62" i="5"/>
  <c r="AC62" i="5"/>
  <c r="D5" i="7"/>
  <c r="E5" i="7"/>
  <c r="F5" i="7"/>
  <c r="G5" i="7"/>
  <c r="H5" i="7"/>
  <c r="I5" i="7"/>
  <c r="J5" i="7"/>
  <c r="K5" i="7"/>
  <c r="L5" i="7"/>
  <c r="M5" i="7"/>
  <c r="N5" i="7"/>
  <c r="O5" i="7"/>
  <c r="P5" i="7"/>
  <c r="Q5" i="7"/>
  <c r="R5" i="7"/>
  <c r="S5" i="7"/>
  <c r="T5" i="7"/>
  <c r="U5" i="7"/>
  <c r="V5" i="7"/>
  <c r="W5" i="7"/>
  <c r="X5" i="7"/>
  <c r="Y5" i="7"/>
  <c r="Z5" i="7"/>
  <c r="AA5" i="7"/>
  <c r="AB5" i="7"/>
  <c r="D7" i="7"/>
  <c r="E7" i="7"/>
  <c r="F7" i="7"/>
  <c r="G7" i="7"/>
  <c r="H7" i="7"/>
  <c r="I7" i="7"/>
  <c r="J7" i="7"/>
  <c r="K7" i="7"/>
  <c r="L7" i="7"/>
  <c r="M7" i="7"/>
  <c r="N7" i="7"/>
  <c r="O7" i="7"/>
  <c r="P7" i="7"/>
  <c r="Q7" i="7"/>
  <c r="R7" i="7"/>
  <c r="S7" i="7"/>
  <c r="T7" i="7"/>
  <c r="U7" i="7"/>
  <c r="V7" i="7"/>
  <c r="W7" i="7"/>
  <c r="X7" i="7"/>
  <c r="Y7" i="7"/>
  <c r="Z7" i="7"/>
  <c r="AA7" i="7"/>
  <c r="AB7" i="7"/>
  <c r="D8" i="7"/>
  <c r="E8" i="7"/>
  <c r="F8" i="7"/>
  <c r="G8" i="7"/>
  <c r="H8" i="7"/>
  <c r="I8" i="7"/>
  <c r="J8" i="7"/>
  <c r="K8" i="7"/>
  <c r="L8" i="7"/>
  <c r="M8" i="7"/>
  <c r="N8" i="7"/>
  <c r="O8" i="7"/>
  <c r="P8" i="7"/>
  <c r="Q8" i="7"/>
  <c r="R8" i="7"/>
  <c r="S8" i="7"/>
  <c r="T8" i="7"/>
  <c r="U8" i="7"/>
  <c r="V8" i="7"/>
  <c r="W8" i="7"/>
  <c r="X8" i="7"/>
  <c r="Y8" i="7"/>
  <c r="Z8" i="7"/>
  <c r="AA8" i="7"/>
  <c r="AB8" i="7"/>
  <c r="D10" i="7"/>
  <c r="E10" i="7"/>
  <c r="F10" i="7"/>
  <c r="G10" i="7"/>
  <c r="H10" i="7"/>
  <c r="I10" i="7"/>
  <c r="J10" i="7"/>
  <c r="K10" i="7"/>
  <c r="L10" i="7"/>
  <c r="M10" i="7"/>
  <c r="N10" i="7"/>
  <c r="O10" i="7"/>
  <c r="P10" i="7"/>
  <c r="Q10" i="7"/>
  <c r="R10" i="7"/>
  <c r="S10" i="7"/>
  <c r="T10" i="7"/>
  <c r="U10" i="7"/>
  <c r="V10" i="7"/>
  <c r="W10" i="7"/>
  <c r="X10" i="7"/>
  <c r="Y10" i="7"/>
  <c r="Z10" i="7"/>
  <c r="AA10" i="7"/>
  <c r="AB10" i="7"/>
  <c r="D11" i="7"/>
  <c r="E11" i="7"/>
  <c r="F11" i="7"/>
  <c r="G11" i="7"/>
  <c r="H11" i="7"/>
  <c r="I11" i="7"/>
  <c r="J11" i="7"/>
  <c r="K11" i="7"/>
  <c r="L11" i="7"/>
  <c r="M11" i="7"/>
  <c r="N11" i="7"/>
  <c r="O11" i="7"/>
  <c r="P11" i="7"/>
  <c r="Q11" i="7"/>
  <c r="R11" i="7"/>
  <c r="S11" i="7"/>
  <c r="T11" i="7"/>
  <c r="U11" i="7"/>
  <c r="V11" i="7"/>
  <c r="W11" i="7"/>
  <c r="X11" i="7"/>
  <c r="Y11" i="7"/>
  <c r="Z11" i="7"/>
  <c r="AA11" i="7"/>
  <c r="AB11" i="7"/>
  <c r="D12" i="7"/>
  <c r="E12" i="7"/>
  <c r="F12" i="7"/>
  <c r="G12" i="7"/>
  <c r="H12" i="7"/>
  <c r="I12" i="7"/>
  <c r="J12" i="7"/>
  <c r="K12" i="7"/>
  <c r="L12" i="7"/>
  <c r="M12" i="7"/>
  <c r="N12" i="7"/>
  <c r="O12" i="7"/>
  <c r="P12" i="7"/>
  <c r="Q12" i="7"/>
  <c r="R12" i="7"/>
  <c r="S12" i="7"/>
  <c r="T12" i="7"/>
  <c r="U12" i="7"/>
  <c r="V12" i="7"/>
  <c r="W12" i="7"/>
  <c r="X12" i="7"/>
  <c r="Y12" i="7"/>
  <c r="Z12" i="7"/>
  <c r="AA12" i="7"/>
  <c r="AB12" i="7"/>
  <c r="D13" i="7"/>
  <c r="E13" i="7"/>
  <c r="F13" i="7"/>
  <c r="G13" i="7"/>
  <c r="H13" i="7"/>
  <c r="I13" i="7"/>
  <c r="J13" i="7"/>
  <c r="K13" i="7"/>
  <c r="L13" i="7"/>
  <c r="M13" i="7"/>
  <c r="N13" i="7"/>
  <c r="O13" i="7"/>
  <c r="P13" i="7"/>
  <c r="Q13" i="7"/>
  <c r="R13" i="7"/>
  <c r="S13" i="7"/>
  <c r="T13" i="7"/>
  <c r="U13" i="7"/>
  <c r="V13" i="7"/>
  <c r="W13" i="7"/>
  <c r="X13" i="7"/>
  <c r="Y13" i="7"/>
  <c r="Z13" i="7"/>
  <c r="AA13" i="7"/>
  <c r="AB13" i="7"/>
  <c r="D15" i="7"/>
  <c r="E15" i="7"/>
  <c r="F15" i="7"/>
  <c r="G15" i="7"/>
  <c r="H15" i="7"/>
  <c r="I15" i="7"/>
  <c r="J15" i="7"/>
  <c r="K15" i="7"/>
  <c r="L15" i="7"/>
  <c r="M15" i="7"/>
  <c r="N15" i="7"/>
  <c r="O15" i="7"/>
  <c r="P15" i="7"/>
  <c r="Q15" i="7"/>
  <c r="R15" i="7"/>
  <c r="S15" i="7"/>
  <c r="T15" i="7"/>
  <c r="U15" i="7"/>
  <c r="V15" i="7"/>
  <c r="W15" i="7"/>
  <c r="X15" i="7"/>
  <c r="Y15" i="7"/>
  <c r="Z15" i="7"/>
  <c r="AA15" i="7"/>
  <c r="AB15" i="7"/>
  <c r="D18" i="7"/>
  <c r="D19" i="7"/>
  <c r="D3" i="6"/>
  <c r="E3" i="6"/>
  <c r="F3" i="6"/>
  <c r="G3" i="6"/>
  <c r="H3" i="6"/>
  <c r="I3" i="6"/>
  <c r="J3" i="6"/>
  <c r="K3" i="6"/>
  <c r="L3" i="6"/>
  <c r="M3" i="6"/>
  <c r="N3" i="6"/>
  <c r="O3" i="6"/>
  <c r="P3" i="6"/>
  <c r="Q3" i="6"/>
  <c r="R3" i="6"/>
  <c r="S3" i="6"/>
  <c r="T3" i="6"/>
  <c r="U3" i="6"/>
  <c r="V3" i="6"/>
  <c r="W3" i="6"/>
  <c r="X3" i="6"/>
  <c r="Y3" i="6"/>
  <c r="Z3" i="6"/>
  <c r="AA3" i="6"/>
  <c r="AB3" i="6"/>
  <c r="D6" i="6"/>
  <c r="C30" i="6"/>
  <c r="C21" i="9"/>
  <c r="D21" i="9"/>
  <c r="E21" i="9"/>
  <c r="F21" i="9"/>
  <c r="G21" i="9"/>
  <c r="H21" i="9"/>
  <c r="I21" i="9"/>
  <c r="J21" i="9"/>
  <c r="K21" i="9"/>
  <c r="L21" i="9"/>
  <c r="M21" i="9"/>
  <c r="N21" i="9"/>
  <c r="O21" i="9"/>
  <c r="P21" i="9"/>
  <c r="R21" i="9"/>
  <c r="S21" i="9"/>
  <c r="T21" i="9"/>
  <c r="U21" i="9"/>
  <c r="V21" i="9"/>
  <c r="W21" i="9"/>
  <c r="X21" i="9"/>
  <c r="Y21" i="9"/>
  <c r="Z21" i="9"/>
  <c r="AA21" i="9"/>
  <c r="AB21" i="9"/>
</calcChain>
</file>

<file path=xl/sharedStrings.xml><?xml version="1.0" encoding="utf-8"?>
<sst xmlns="http://schemas.openxmlformats.org/spreadsheetml/2006/main" count="518" uniqueCount="269">
  <si>
    <t>MW</t>
  </si>
  <si>
    <t>Capital Cost</t>
  </si>
  <si>
    <t>Preliminary Cost</t>
  </si>
  <si>
    <t>Land Cost</t>
  </si>
  <si>
    <t>Equity</t>
  </si>
  <si>
    <t>Spares</t>
  </si>
  <si>
    <t xml:space="preserve">EPC cost (ICB is expected to be lesser by 50 Lacs /MW </t>
  </si>
  <si>
    <t>ICB Cost (VGF)</t>
  </si>
  <si>
    <t>EPC Cost</t>
  </si>
  <si>
    <t>Infra structure Cost</t>
  </si>
  <si>
    <t>Lakh</t>
  </si>
  <si>
    <t>Project Management</t>
  </si>
  <si>
    <t>Escalation</t>
  </si>
  <si>
    <t>p.a.</t>
  </si>
  <si>
    <t>IDC &amp; Contg.</t>
  </si>
  <si>
    <t>GST</t>
  </si>
  <si>
    <t>Total Cost</t>
  </si>
  <si>
    <t>Per MW Rs. in Lakh</t>
  </si>
  <si>
    <t>ROE</t>
  </si>
  <si>
    <t>Tax Rate</t>
  </si>
  <si>
    <t>Depreciation</t>
  </si>
  <si>
    <t>Discounting Factor</t>
  </si>
  <si>
    <t>Years</t>
  </si>
  <si>
    <t>Year</t>
  </si>
  <si>
    <t>Total</t>
  </si>
  <si>
    <t>Interest on Loan</t>
  </si>
  <si>
    <t>Return on Equity</t>
  </si>
  <si>
    <t>Levelised Tariff</t>
  </si>
  <si>
    <t>Plant Capacity</t>
  </si>
  <si>
    <t>Debt percentage</t>
  </si>
  <si>
    <t>Particulars</t>
  </si>
  <si>
    <t>Normative Parameters as per CERC regulations</t>
  </si>
  <si>
    <t>Depreciation Rate</t>
  </si>
  <si>
    <t>Years of Accelerated Depreciation</t>
  </si>
  <si>
    <t>Normative ROE</t>
  </si>
  <si>
    <t>Unit</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</si>
  <si>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</si>
  <si>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</si>
  <si>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</si>
  <si>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</si>
  <si>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</si>
  <si>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</si>
  <si>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</si>
  <si>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</si>
  <si>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</si>
  <si>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</si>
  <si>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</si>
  <si>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</si>
  <si>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</si>
  <si>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</si>
  <si>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</si>
  <si>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</si>
  <si>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</si>
  <si>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</si>
  <si>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</si>
  <si>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</si>
  <si>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</si>
  <si>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</si>
  <si>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</si>
  <si>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</si>
  <si>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</si>
  <si>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t>
  </si>
  <si>
    <t>Target CUF</t>
  </si>
  <si>
    <t>Auxiliary Power Consumption</t>
  </si>
  <si>
    <t>No. of Hours for calculation of CUF</t>
  </si>
  <si>
    <t>hours</t>
  </si>
  <si>
    <t>O &amp; M Escalation</t>
  </si>
  <si>
    <t>Rate of Interest on Loan</t>
  </si>
  <si>
    <t>Receivables</t>
  </si>
  <si>
    <t>Months</t>
  </si>
  <si>
    <t>Rate of Interest on WC</t>
  </si>
  <si>
    <t>Plant Life</t>
  </si>
  <si>
    <t>Degradation percentage</t>
  </si>
  <si>
    <t>O &amp; M Expense</t>
  </si>
  <si>
    <t>Measuring Unit</t>
  </si>
  <si>
    <t>FY 2019-2020</t>
  </si>
  <si>
    <t>FY 2020-2021</t>
  </si>
  <si>
    <t>FY 2021-2022</t>
  </si>
  <si>
    <t>FY 2022-2023</t>
  </si>
  <si>
    <t>FY 2023-2024</t>
  </si>
  <si>
    <t>FY 2024-25</t>
  </si>
  <si>
    <t>FY 2025-26</t>
  </si>
  <si>
    <t>FY 2026-27</t>
  </si>
  <si>
    <t>FY 2027-28</t>
  </si>
  <si>
    <t>FY 2028-29</t>
  </si>
  <si>
    <t>FY 2029-30</t>
  </si>
  <si>
    <t>FY 2030-31</t>
  </si>
  <si>
    <t>FY 2031-32</t>
  </si>
  <si>
    <t>FY 2032-33</t>
  </si>
  <si>
    <t>FY 2033-34</t>
  </si>
  <si>
    <t>FY 2034-35</t>
  </si>
  <si>
    <t>FY 2035-36</t>
  </si>
  <si>
    <t>FY 2036-37</t>
  </si>
  <si>
    <t>FY 2037-38</t>
  </si>
  <si>
    <t>FY 2038-39</t>
  </si>
  <si>
    <t>FY 2039-40</t>
  </si>
  <si>
    <t>FY 2040-41</t>
  </si>
  <si>
    <t>FY 2041-42</t>
  </si>
  <si>
    <t>FY 2042-43</t>
  </si>
  <si>
    <t>FY 2043-44</t>
  </si>
  <si>
    <t>Gross Opening Equity</t>
  </si>
  <si>
    <t>Adjustments during the year</t>
  </si>
  <si>
    <t>Additions in Equity During the year</t>
  </si>
  <si>
    <t>Decrease due to de-capitalization during the year</t>
  </si>
  <si>
    <t>Decrease due to reversal during the year</t>
  </si>
  <si>
    <t>Add: Increase due to discharges during the year</t>
  </si>
  <si>
    <t>Net Opening Equity</t>
  </si>
  <si>
    <t>Net Closing Equity</t>
  </si>
  <si>
    <t>Average Equity</t>
  </si>
  <si>
    <t>Rate of ROE</t>
  </si>
  <si>
    <t>Gross Loan Opening</t>
  </si>
  <si>
    <t>Cumulative Repayment</t>
  </si>
  <si>
    <t>Net Loan Opening</t>
  </si>
  <si>
    <t>Adj. in repmt. due to Liab.disc.</t>
  </si>
  <si>
    <t>Adj. in repmt. due to decap</t>
  </si>
  <si>
    <t>Adjusted Net Normative loan – Opening</t>
  </si>
  <si>
    <t>Additions: Drawal during the year</t>
  </si>
  <si>
    <t>Repayments during the year</t>
  </si>
  <si>
    <t>Net Loan Closing</t>
  </si>
  <si>
    <t>Average Loan</t>
  </si>
  <si>
    <t>W.Avg. Rate of Interest</t>
  </si>
  <si>
    <t>Add. Cap. During the Year</t>
  </si>
  <si>
    <t>Total Capital Expenditure</t>
  </si>
  <si>
    <t>Average Capital Cost</t>
  </si>
  <si>
    <t>Rate of Depreciation</t>
  </si>
  <si>
    <t>Balance depreciable value (existing assets)</t>
  </si>
  <si>
    <t>Dep (Total)</t>
  </si>
  <si>
    <t>Cum. Dep at the end of period</t>
  </si>
  <si>
    <t>Add: Cumulative depreciation adjustment on account of liab. disc.</t>
  </si>
  <si>
    <t>Less: Cumulative depreciation adjustment on account of de-capitalisation</t>
  </si>
  <si>
    <t>Net Cumulative depreciation at the end of the period</t>
  </si>
  <si>
    <t>Gross Depreciable Value @90 %</t>
  </si>
  <si>
    <t>Total O&amp;M Expenses</t>
  </si>
  <si>
    <t>O &amp; M Expenses</t>
  </si>
  <si>
    <t>Water Charges</t>
  </si>
  <si>
    <t>Stock</t>
  </si>
  <si>
    <t>WORKING CAPITAL</t>
  </si>
  <si>
    <t>O&amp;M</t>
  </si>
  <si>
    <t>Gross Working Capital</t>
  </si>
  <si>
    <t>Int. Rate on WC</t>
  </si>
  <si>
    <t>Interest on WC</t>
  </si>
  <si>
    <t>O &amp; M Expense for WC</t>
  </si>
  <si>
    <t>O&amp;M expenses</t>
  </si>
  <si>
    <t>Interest on Loan Capital</t>
  </si>
  <si>
    <t>Million Units Generated</t>
  </si>
  <si>
    <t>Million Units Sold</t>
  </si>
  <si>
    <t>Per Unit Tariff</t>
  </si>
  <si>
    <t>Rs./Unit</t>
  </si>
  <si>
    <t>Discounting Rate</t>
  </si>
  <si>
    <t>FY 2023-24</t>
  </si>
  <si>
    <t>FY 2022-23</t>
  </si>
  <si>
    <t>Capital Investment</t>
  </si>
  <si>
    <t>Interest on Working Capital</t>
  </si>
  <si>
    <t>Cash Outflow</t>
  </si>
  <si>
    <t>Income from Energy</t>
  </si>
  <si>
    <t>Income from Other Sources</t>
  </si>
  <si>
    <t>Cash Inflow</t>
  </si>
  <si>
    <t>Net Income</t>
  </si>
  <si>
    <t>EAT</t>
  </si>
  <si>
    <t>Net CFAT</t>
  </si>
  <si>
    <t>Taxes @ 21.34%</t>
  </si>
  <si>
    <t>Discounting rate</t>
  </si>
  <si>
    <t>NPV of CFAT</t>
  </si>
  <si>
    <t>IRR</t>
  </si>
  <si>
    <t>Debt Percentage</t>
  </si>
  <si>
    <t>Int Rate on Loan</t>
  </si>
  <si>
    <t>Aux Power Consumption</t>
  </si>
  <si>
    <t>Available CUF after Degradation</t>
  </si>
  <si>
    <t>O &amp; M Escalation percentage</t>
  </si>
  <si>
    <t>Increase</t>
  </si>
  <si>
    <t>Decrease</t>
  </si>
  <si>
    <t>Value</t>
  </si>
  <si>
    <t>Parameter</t>
  </si>
  <si>
    <t>Degradation Percentage</t>
  </si>
  <si>
    <t>Land Required</t>
  </si>
  <si>
    <t>acres</t>
  </si>
  <si>
    <t>Cost of Land</t>
  </si>
  <si>
    <t>Liquidated and Ascertained Damages</t>
  </si>
  <si>
    <t>Years of Const.</t>
  </si>
  <si>
    <t>Land Lease</t>
  </si>
  <si>
    <t>Total Tariff</t>
  </si>
  <si>
    <t>Note:</t>
  </si>
  <si>
    <t>Plant Name</t>
  </si>
  <si>
    <t xml:space="preserve"> Unit Size</t>
  </si>
  <si>
    <t>[You can click on any of the sheet name here to edit or modify data on that sheet.]</t>
  </si>
  <si>
    <t>[Click on the default button in Output sheet or in here to return the whole model back to initial.]</t>
  </si>
  <si>
    <t>Bilhaur Based Model</t>
  </si>
  <si>
    <t>Capital Invested = Rs.  Crores</t>
  </si>
  <si>
    <t>Sheet Name</t>
  </si>
  <si>
    <t>Content</t>
  </si>
  <si>
    <t>Calculation of Capital invested for the total project. You can edit data here.</t>
  </si>
  <si>
    <t>Basic Tariff Model</t>
  </si>
  <si>
    <t>All the calclulations of Capacity and Energy charges are done here. Please do not change anything in this sheet.</t>
  </si>
  <si>
    <t>Output</t>
  </si>
  <si>
    <t>This sheet contains the output tariff for 25 years. Please do not edit anything here. Use the buttons to modify parameters. You can only see the effects of any modification in the graph.</t>
  </si>
  <si>
    <t>Financial</t>
  </si>
  <si>
    <t>No data here are punched in. So, you are not allowed to make any change here.</t>
  </si>
  <si>
    <t>Normative CUF</t>
  </si>
  <si>
    <t>Plant Type</t>
  </si>
  <si>
    <t>MAT/ Tax-Rate</t>
  </si>
  <si>
    <t>MAT</t>
  </si>
  <si>
    <t>Base</t>
  </si>
  <si>
    <t>Surcharge</t>
  </si>
  <si>
    <t>Cess</t>
  </si>
  <si>
    <t>Interval</t>
  </si>
  <si>
    <t>11-25 Years</t>
  </si>
  <si>
    <t>1-10 Years</t>
  </si>
  <si>
    <t>Input Sheet</t>
  </si>
  <si>
    <t>Base Tax Rate</t>
  </si>
  <si>
    <t>Lakh/acres</t>
  </si>
  <si>
    <t>Land Required /MW</t>
  </si>
  <si>
    <t>Land Requirement/MW</t>
  </si>
  <si>
    <t>Capacity</t>
  </si>
  <si>
    <t>Parameters</t>
  </si>
  <si>
    <t>CERC</t>
  </si>
  <si>
    <t>Arunachal Pradesh</t>
  </si>
  <si>
    <t>Assam</t>
  </si>
  <si>
    <t>Bihar</t>
  </si>
  <si>
    <t>Chhattis -garh</t>
  </si>
  <si>
    <t>Delhi</t>
  </si>
  <si>
    <t>Gujarat</t>
  </si>
  <si>
    <t>Haryana</t>
  </si>
  <si>
    <t>Himachal Pradesh</t>
  </si>
  <si>
    <t>J &amp; K</t>
  </si>
  <si>
    <t>Jharkhand</t>
  </si>
  <si>
    <t>Karnataka</t>
  </si>
  <si>
    <t>Kerala</t>
  </si>
  <si>
    <t>Madhya Pradesh</t>
  </si>
  <si>
    <t>Manipur</t>
  </si>
  <si>
    <t>Meghalaya</t>
  </si>
  <si>
    <t>Mizoram</t>
  </si>
  <si>
    <t>Nagaland</t>
  </si>
  <si>
    <t>Punjab</t>
  </si>
  <si>
    <t>Rajasthan</t>
  </si>
  <si>
    <t>Sikkim</t>
  </si>
  <si>
    <t>Tamil Nadu</t>
  </si>
  <si>
    <t>Tripura</t>
  </si>
  <si>
    <t>Uttara-khand</t>
  </si>
  <si>
    <t>JERC (For Goa &amp; UTs)</t>
  </si>
  <si>
    <t>Uttar Pradesh</t>
  </si>
  <si>
    <t>Andhra Pradesh</t>
  </si>
  <si>
    <t>Telengana</t>
  </si>
  <si>
    <t>Loan Tenure</t>
  </si>
  <si>
    <t>NA</t>
  </si>
  <si>
    <t>For 10 Years</t>
  </si>
  <si>
    <t>After 10 Years</t>
  </si>
  <si>
    <t>Depreciation Percentage</t>
  </si>
  <si>
    <t>For Starting Years</t>
  </si>
  <si>
    <t>For Remaining Years</t>
  </si>
  <si>
    <t>Max Depreciation (% of CC)</t>
  </si>
  <si>
    <t>State-Wise Tariff</t>
  </si>
  <si>
    <t>Select State</t>
  </si>
  <si>
    <t>The Commission has followed the Competitive Bidding Route. Tariff Rates for Solar PV for FY 2019-20 is 3.29/KWh. Tariff Rates for Solar Rooftop PV for FY 2019-20 is 3.79/KWh. Tariff Rates for Solar Thermal for FY 2019-20 is 10.24/KWh (Net Levelised Tariff).</t>
  </si>
  <si>
    <t>Year of Commissioning-FY 2014-15 ; Levelized Tariff for 25 years: Rs. 7.06</t>
  </si>
  <si>
    <t>Competitive bidding route</t>
  </si>
  <si>
    <t>Maharashtra</t>
  </si>
  <si>
    <t>Changing Parameters</t>
  </si>
  <si>
    <t>IOL</t>
  </si>
  <si>
    <t>IOWC</t>
  </si>
  <si>
    <t>Year of Loan Tenure</t>
  </si>
  <si>
    <t>Same bunch of code</t>
  </si>
  <si>
    <t>2 Lines of Code</t>
  </si>
  <si>
    <t>No. of Lines</t>
  </si>
  <si>
    <t>O&amp;M Expense</t>
  </si>
  <si>
    <t>This sheet contain the values of parameters as specified by CERC. It is suggested to click on any of the default button after you check the model with any modified values.The default buttons are your failsafe buttons.</t>
  </si>
  <si>
    <t>See for State-wise levelised tariff based on State-wise regulations. All data here are punched in. So you can modify data in here. The tariff will modify automatically. But there is no failsafe button for all these data. Once changed and saved, the data is lost, so be careful.</t>
  </si>
  <si>
    <t>All the sheets have their links in the next column. Click on any sheet to visit. All unprotected sheets are editable. But it is preferred that you make a copy before making random changes.</t>
  </si>
  <si>
    <t>Note: This is a protected sheet, it cannot be modified without the permission of the administrator</t>
  </si>
  <si>
    <t>Note: Please do not make any random changes over here. The default buttons might not change values in all the cells.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</si>
</sst>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 #,##0.00;&quot;₹&quot;\ \-#,##0.00"/>
    <numFmt numFmtId="8" formatCode="&quot;₹&quot;\ #,##0.00;[Red]&quot;₹&quot;\ \-#,##0.00"/>
    <numFmt numFmtId="164" formatCode="&quot;₹&quot;\ #,##0.00"/>
    <numFmt numFmtId="165" formatCode="0.0%"/>
    <numFmt numFmtId="166" formatCode="&quot;₹&quot;\ #,##0.0"/>
  </numFmts>
  <fonts count="23"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name val="Calibri"/>
      <family val="2"/>
      <scheme val="minor"/>
    </font>
    <font>
      <sz val="8"/>
      <name val="Calibri"/>
      <family val="2"/>
      <scheme val="minor"/>
    </font>
    <font>
      <sz val="10"/>
      <name val="Arial"/>
      <family val="2"/>
    </font>
    <font>
      <b/>
      <sz val="11"/>
      <name val="Calibri"/>
      <family val="2"/>
      <scheme val="minor"/>
    </font>
    <font>
      <sz val="11"/>
      <color indexed="8"/>
      <name val="Calibri"/>
      <family val="2"/>
      <scheme val="minor"/>
    </font>
    <font>
      <sz val="11"/>
      <color indexed="8"/>
      <name val="Calibri"/>
      <family val="2"/>
    </font>
    <font>
      <b/>
      <sz val="11"/>
      <color indexed="8"/>
      <name val="Calibri"/>
      <family val="2"/>
      <scheme val="minor"/>
    </font>
    <font>
      <sz val="11"/>
      <color rgb="FF000000"/>
      <name val="Calibri"/>
      <family val="2"/>
    </font>
    <font>
      <b/>
      <sz val="11"/>
      <color theme="0"/>
      <name val="Calibri"/>
      <family val="2"/>
      <scheme val="minor"/>
    </font>
    <font>
      <u/>
      <sz val="11"/>
      <color theme="10"/>
      <name val="Calibri"/>
      <family val="2"/>
      <scheme val="minor"/>
    </font>
    <font>
      <b/>
      <sz val="12"/>
      <color theme="0"/>
      <name val="Calibri"/>
      <family val="2"/>
      <scheme val="minor"/>
    </font>
    <font>
      <sz val="8"/>
      <color rgb="FF000000"/>
      <name val="Segoe UI"/>
      <family val="2"/>
    </font>
    <font>
      <sz val="14"/>
      <color theme="10"/>
      <name val="Calibri"/>
      <family val="2"/>
      <scheme val="minor"/>
    </font>
    <font>
      <i/>
      <sz val="12"/>
      <color theme="0"/>
      <name val="Calibri"/>
      <family val="2"/>
      <scheme val="minor"/>
    </font>
    <font>
      <b/>
      <i/>
      <sz val="11"/>
      <color theme="0"/>
      <name val="Calibri"/>
      <family val="2"/>
      <scheme val="minor"/>
    </font>
    <font>
      <sz val="11"/>
      <color rgb="FFFFFF00"/>
      <name val="Calibri"/>
      <family val="2"/>
      <scheme val="minor"/>
    </font>
    <font>
      <b/>
      <sz val="11"/>
      <color rgb="FFFFFF00"/>
      <name val="Calibri"/>
      <family val="2"/>
      <scheme val="minor"/>
    </font>
    <font>
      <b/>
      <i/>
      <sz val="11"/>
      <color rgb="FFFFFF00"/>
      <name val="Calibri"/>
      <family val="2"/>
      <scheme val="minor"/>
    </font>
    <font>
      <b/>
      <i/>
      <sz val="11"/>
      <color theme="1"/>
      <name val="Calibri"/>
      <family val="2"/>
      <scheme val="minor"/>
    </font>
  </fonts>
  <fills count="25">
    <fill>
      <patternFill patternType="none"/>
    </fill>
    <fill>
      <patternFill patternType="gray125"/>
    </fill>
    <fill>
      <patternFill patternType="solid">
        <fgColor theme="5" tint="0.39997558519241921"/>
        <bgColor indexed="64"/>
      </patternFill>
    </fill>
    <fill>
      <patternFill patternType="solid">
        <fgColor theme="6"/>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3" tint="0.79998168889431442"/>
        <bgColor indexed="64"/>
      </patternFill>
    </fill>
    <fill>
      <patternFill patternType="solid">
        <fgColor theme="3" tint="-0.249977111117893"/>
        <bgColor indexed="64"/>
      </patternFill>
    </fill>
    <fill>
      <patternFill patternType="solid">
        <fgColor theme="9" tint="-0.499984740745262"/>
        <bgColor indexed="64"/>
      </patternFill>
    </fill>
    <fill>
      <patternFill patternType="solid">
        <fgColor theme="2" tint="-0.499984740745262"/>
        <bgColor indexed="64"/>
      </patternFill>
    </fill>
    <fill>
      <patternFill patternType="solid">
        <fgColor theme="7"/>
        <bgColor indexed="64"/>
      </patternFill>
    </fill>
    <fill>
      <patternFill patternType="solid">
        <fgColor rgb="FFFFFF66"/>
        <bgColor indexed="64"/>
      </patternFill>
    </fill>
    <fill>
      <patternFill patternType="solid">
        <fgColor theme="1" tint="0.499984740745262"/>
        <bgColor indexed="64"/>
      </patternFill>
    </fill>
    <fill>
      <patternFill patternType="solid">
        <fgColor theme="9" tint="0.39997558519241921"/>
        <bgColor indexed="64"/>
      </patternFill>
    </fill>
    <fill>
      <patternFill patternType="solid">
        <fgColor rgb="FF00B050"/>
        <bgColor indexed="64"/>
      </patternFill>
    </fill>
    <fill>
      <patternFill patternType="solid">
        <fgColor theme="7" tint="0.39997558519241921"/>
        <bgColor indexed="64"/>
      </patternFill>
    </fill>
    <fill>
      <patternFill patternType="solid">
        <fgColor rgb="FF00740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1" tint="0.249977111117893"/>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theme="9" tint="-0.249977111117893"/>
        <bgColor indexed="64"/>
      </patternFill>
    </fill>
  </fills>
  <borders count="22">
    <border>
      <left/>
      <right/>
      <top/>
      <bottom/>
      <diagonal/>
    </border>
    <border>
      <left style="thin">
        <color indexed="64"/>
      </left>
      <right/>
      <top/>
      <bottom style="thin">
        <color indexed="64"/>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thin">
        <color indexed="64"/>
      </left>
      <right/>
      <top/>
      <bottom/>
      <diagonal/>
    </border>
    <border>
      <left/>
      <right style="thin">
        <color indexed="64"/>
      </right>
      <top/>
      <bottom/>
      <diagonal/>
    </border>
    <border>
      <left/>
      <right/>
      <top style="medium">
        <color indexed="64"/>
      </top>
      <bottom/>
      <diagonal/>
    </border>
    <border>
      <left/>
      <right style="medium">
        <color indexed="64"/>
      </right>
      <top style="medium">
        <color indexed="64"/>
      </top>
      <bottom/>
      <diagonal/>
    </border>
    <border>
      <left/>
      <right/>
      <top style="thin">
        <color theme="0"/>
      </top>
      <bottom/>
      <diagonal/>
    </border>
    <border>
      <left/>
      <right style="medium">
        <color indexed="64"/>
      </right>
      <top style="thin">
        <color theme="0"/>
      </top>
      <bottom/>
      <diagonal/>
    </border>
    <border>
      <left/>
      <right style="medium">
        <color indexed="64"/>
      </right>
      <top/>
      <bottom/>
      <diagonal/>
    </border>
    <border>
      <left/>
      <right style="thin">
        <color theme="0"/>
      </right>
      <top style="thin">
        <color theme="0"/>
      </top>
      <bottom style="thin">
        <color theme="0"/>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8">
    <xf numFmtId="0" fontId="0" fillId="0" borderId="0"/>
    <xf numFmtId="9" fontId="1" fillId="0" borderId="0" applyFont="0" applyFill="0" applyBorder="0" applyAlignment="0" applyProtection="0"/>
    <xf numFmtId="0" fontId="6" fillId="0" borderId="0"/>
    <xf numFmtId="0" fontId="6" fillId="0" borderId="0"/>
    <xf numFmtId="0" fontId="6" fillId="0" borderId="0"/>
    <xf numFmtId="0" fontId="9" fillId="0" borderId="0"/>
    <xf numFmtId="0" fontId="9" fillId="0" borderId="0"/>
    <xf numFmtId="0" fontId="13" fillId="0" borderId="0" applyNumberFormat="0" applyFill="0" applyBorder="0" applyAlignment="0" applyProtection="0"/>
  </cellStyleXfs>
  <cellXfs count="184">
    <xf numFmtId="0" fontId="0" fillId="0" borderId="0" xfId="0"/>
    <xf numFmtId="10" fontId="0" fillId="0" borderId="0" xfId="0" applyNumberFormat="1"/>
    <xf numFmtId="0" fontId="2" fillId="0" borderId="0" xfId="0" applyFont="1"/>
    <xf numFmtId="9" fontId="0" fillId="0" borderId="0" xfId="0" applyNumberFormat="1"/>
    <xf numFmtId="0" fontId="0" fillId="3" borderId="0" xfId="0" applyFill="1"/>
    <xf numFmtId="0" fontId="2" fillId="3" borderId="0" xfId="0" applyFont="1" applyFill="1"/>
    <xf numFmtId="164" fontId="4" fillId="0" borderId="0" xfId="0" applyNumberFormat="1" applyFont="1" applyAlignment="1">
      <alignment vertical="top"/>
    </xf>
    <xf numFmtId="164" fontId="4" fillId="0" borderId="0" xfId="3" applyNumberFormat="1" applyFont="1" applyAlignment="1">
      <alignment vertical="top"/>
    </xf>
    <xf numFmtId="164" fontId="0" fillId="0" borderId="0" xfId="0" applyNumberFormat="1"/>
    <xf numFmtId="0" fontId="2" fillId="0" borderId="0" xfId="0" applyFont="1" applyFill="1" applyBorder="1"/>
    <xf numFmtId="9" fontId="2" fillId="0" borderId="0" xfId="0" applyNumberFormat="1" applyFont="1" applyFill="1" applyBorder="1"/>
    <xf numFmtId="0" fontId="0" fillId="4" borderId="0" xfId="0" applyFill="1"/>
    <xf numFmtId="0" fontId="2" fillId="4" borderId="0" xfId="0" applyFont="1" applyFill="1"/>
    <xf numFmtId="164" fontId="0" fillId="4" borderId="0" xfId="0" applyNumberFormat="1" applyFill="1"/>
    <xf numFmtId="0" fontId="4" fillId="4" borderId="0" xfId="2" applyFont="1" applyFill="1" applyAlignment="1">
      <alignment vertical="top"/>
    </xf>
    <xf numFmtId="164" fontId="4" fillId="4" borderId="0" xfId="3" applyNumberFormat="1" applyFont="1" applyFill="1" applyAlignment="1">
      <alignment vertical="top"/>
    </xf>
    <xf numFmtId="10" fontId="0" fillId="4" borderId="0" xfId="0" applyNumberFormat="1" applyFill="1"/>
    <xf numFmtId="0" fontId="7" fillId="4" borderId="0" xfId="2" applyFont="1" applyFill="1" applyAlignment="1">
      <alignment vertical="top"/>
    </xf>
    <xf numFmtId="0" fontId="0" fillId="5" borderId="0" xfId="0" applyFill="1"/>
    <xf numFmtId="0" fontId="7" fillId="6" borderId="0" xfId="2" applyFont="1" applyFill="1" applyAlignment="1">
      <alignment vertical="top"/>
    </xf>
    <xf numFmtId="0" fontId="0" fillId="6" borderId="0" xfId="0" applyFill="1"/>
    <xf numFmtId="0" fontId="4" fillId="6" borderId="0" xfId="2" applyFont="1" applyFill="1" applyAlignment="1">
      <alignment vertical="top"/>
    </xf>
    <xf numFmtId="0" fontId="8" fillId="6" borderId="0" xfId="4" applyFont="1" applyFill="1" applyAlignment="1">
      <alignment vertical="top"/>
    </xf>
    <xf numFmtId="0" fontId="8" fillId="6" borderId="0" xfId="5" applyFont="1" applyFill="1" applyAlignment="1">
      <alignment vertical="top" wrapText="1"/>
    </xf>
    <xf numFmtId="0" fontId="10" fillId="6" borderId="0" xfId="5" applyFont="1" applyFill="1" applyAlignment="1">
      <alignment vertical="top" wrapText="1"/>
    </xf>
    <xf numFmtId="0" fontId="0" fillId="7" borderId="0" xfId="0" applyFill="1"/>
    <xf numFmtId="0" fontId="0" fillId="8" borderId="0" xfId="0" applyFill="1"/>
    <xf numFmtId="0" fontId="4" fillId="9" borderId="0" xfId="2" applyFont="1" applyFill="1"/>
    <xf numFmtId="0" fontId="4" fillId="9" borderId="0" xfId="2" applyFont="1" applyFill="1" applyAlignment="1">
      <alignment vertical="top"/>
    </xf>
    <xf numFmtId="0" fontId="0" fillId="9" borderId="0" xfId="0" applyFill="1"/>
    <xf numFmtId="0" fontId="7" fillId="9" borderId="0" xfId="2" applyFont="1" applyFill="1" applyAlignment="1">
      <alignment vertical="top"/>
    </xf>
    <xf numFmtId="164" fontId="0" fillId="2" borderId="0" xfId="0" applyNumberFormat="1" applyFill="1"/>
    <xf numFmtId="0" fontId="4" fillId="2" borderId="0" xfId="2" applyFont="1" applyFill="1" applyAlignment="1">
      <alignment vertical="top"/>
    </xf>
    <xf numFmtId="0" fontId="0" fillId="2" borderId="0" xfId="0" applyFill="1"/>
    <xf numFmtId="10" fontId="0" fillId="2" borderId="0" xfId="0" applyNumberFormat="1" applyFill="1"/>
    <xf numFmtId="164" fontId="4" fillId="2" borderId="0" xfId="2" applyNumberFormat="1" applyFont="1" applyFill="1" applyAlignment="1">
      <alignment vertical="top"/>
    </xf>
    <xf numFmtId="0" fontId="8" fillId="2" borderId="0" xfId="6" applyFont="1" applyFill="1" applyAlignment="1">
      <alignment vertical="top" wrapText="1"/>
    </xf>
    <xf numFmtId="0" fontId="8" fillId="2" borderId="0" xfId="4" applyFont="1" applyFill="1" applyAlignment="1">
      <alignment vertical="top" wrapText="1"/>
    </xf>
    <xf numFmtId="164" fontId="0" fillId="6" borderId="0" xfId="0" applyNumberFormat="1" applyFill="1"/>
    <xf numFmtId="10" fontId="0" fillId="6" borderId="0" xfId="0" applyNumberFormat="1" applyFill="1"/>
    <xf numFmtId="0" fontId="0" fillId="0" borderId="0" xfId="0" applyFill="1"/>
    <xf numFmtId="164" fontId="0" fillId="9" borderId="0" xfId="0" applyNumberFormat="1" applyFill="1" applyBorder="1"/>
    <xf numFmtId="164" fontId="0" fillId="9" borderId="0" xfId="0" applyNumberFormat="1" applyFill="1"/>
    <xf numFmtId="0" fontId="0" fillId="10" borderId="0" xfId="0" applyFill="1"/>
    <xf numFmtId="0" fontId="4" fillId="11" borderId="0" xfId="2" applyFont="1" applyFill="1"/>
    <xf numFmtId="0" fontId="7" fillId="11" borderId="0" xfId="2" applyFont="1" applyFill="1" applyAlignment="1">
      <alignment vertical="top"/>
    </xf>
    <xf numFmtId="0" fontId="0" fillId="11" borderId="0" xfId="0" applyFill="1"/>
    <xf numFmtId="0" fontId="4" fillId="11" borderId="0" xfId="2" applyFont="1" applyFill="1" applyAlignment="1">
      <alignment vertical="top"/>
    </xf>
    <xf numFmtId="10" fontId="4" fillId="11" borderId="0" xfId="2" applyNumberFormat="1" applyFont="1" applyFill="1" applyAlignment="1">
      <alignment vertical="top"/>
    </xf>
    <xf numFmtId="164" fontId="0" fillId="11" borderId="0" xfId="0" applyNumberFormat="1" applyFill="1"/>
    <xf numFmtId="10" fontId="0" fillId="11" borderId="0" xfId="0" applyNumberFormat="1" applyFill="1"/>
    <xf numFmtId="0" fontId="0" fillId="12" borderId="0" xfId="0" applyFill="1"/>
    <xf numFmtId="0" fontId="7" fillId="13" borderId="0" xfId="2" applyFont="1" applyFill="1" applyAlignment="1">
      <alignment vertical="top"/>
    </xf>
    <xf numFmtId="0" fontId="0" fillId="13" borderId="0" xfId="0" applyFill="1"/>
    <xf numFmtId="0" fontId="4" fillId="13" borderId="0" xfId="2" applyFont="1" applyFill="1" applyAlignment="1">
      <alignment vertical="top"/>
    </xf>
    <xf numFmtId="164" fontId="4" fillId="13" borderId="0" xfId="2" applyNumberFormat="1" applyFont="1" applyFill="1" applyAlignment="1">
      <alignment vertical="top"/>
    </xf>
    <xf numFmtId="164" fontId="7" fillId="13" borderId="0" xfId="2" applyNumberFormat="1" applyFont="1" applyFill="1" applyAlignment="1">
      <alignment vertical="top"/>
    </xf>
    <xf numFmtId="0" fontId="0" fillId="14" borderId="0" xfId="0" applyFill="1"/>
    <xf numFmtId="164" fontId="0" fillId="0" borderId="0" xfId="0" applyNumberFormat="1" applyFill="1"/>
    <xf numFmtId="0" fontId="7" fillId="2" borderId="0" xfId="2" applyFont="1" applyFill="1" applyAlignment="1">
      <alignment vertical="top"/>
    </xf>
    <xf numFmtId="0" fontId="12" fillId="8" borderId="0" xfId="0" applyFont="1" applyFill="1"/>
    <xf numFmtId="10" fontId="3" fillId="8" borderId="0" xfId="0" applyNumberFormat="1" applyFont="1" applyFill="1"/>
    <xf numFmtId="2" fontId="3" fillId="8" borderId="0" xfId="0" applyNumberFormat="1" applyFont="1" applyFill="1"/>
    <xf numFmtId="0" fontId="0" fillId="15" borderId="0" xfId="0" applyFill="1"/>
    <xf numFmtId="0" fontId="2" fillId="15" borderId="0" xfId="0" applyFont="1" applyFill="1"/>
    <xf numFmtId="0" fontId="3" fillId="16" borderId="0" xfId="0" applyFont="1" applyFill="1"/>
    <xf numFmtId="10" fontId="3" fillId="16" borderId="0" xfId="0" applyNumberFormat="1" applyFont="1" applyFill="1"/>
    <xf numFmtId="0" fontId="3" fillId="16" borderId="0" xfId="0" applyNumberFormat="1" applyFont="1" applyFill="1"/>
    <xf numFmtId="2" fontId="3" fillId="16" borderId="0" xfId="0" applyNumberFormat="1" applyFont="1" applyFill="1" applyBorder="1"/>
    <xf numFmtId="10" fontId="0" fillId="9" borderId="0" xfId="0" applyNumberFormat="1" applyFill="1"/>
    <xf numFmtId="164" fontId="0" fillId="17" borderId="0" xfId="0" applyNumberFormat="1" applyFill="1"/>
    <xf numFmtId="0" fontId="0" fillId="17" borderId="0" xfId="0" applyFill="1"/>
    <xf numFmtId="10" fontId="0" fillId="17" borderId="0" xfId="0" applyNumberFormat="1" applyFill="1"/>
    <xf numFmtId="10" fontId="0" fillId="17" borderId="0" xfId="0" applyNumberFormat="1" applyFill="1" applyBorder="1"/>
    <xf numFmtId="0" fontId="3" fillId="8" borderId="0" xfId="0" applyFont="1" applyFill="1"/>
    <xf numFmtId="0" fontId="0" fillId="13" borderId="0" xfId="0" applyFill="1" applyBorder="1"/>
    <xf numFmtId="164" fontId="0" fillId="13" borderId="0" xfId="0" applyNumberFormat="1" applyFont="1" applyFill="1" applyBorder="1"/>
    <xf numFmtId="0" fontId="0" fillId="13" borderId="0" xfId="0" applyFill="1" applyBorder="1" applyAlignment="1">
      <alignment wrapText="1"/>
    </xf>
    <xf numFmtId="0" fontId="3" fillId="13" borderId="0" xfId="0" applyFont="1" applyFill="1" applyBorder="1"/>
    <xf numFmtId="2" fontId="3" fillId="13" borderId="0" xfId="0" applyNumberFormat="1" applyFont="1" applyFill="1" applyBorder="1"/>
    <xf numFmtId="0" fontId="0" fillId="18" borderId="0" xfId="0" applyFill="1"/>
    <xf numFmtId="0" fontId="3" fillId="19" borderId="5" xfId="0" applyFont="1" applyFill="1" applyBorder="1"/>
    <xf numFmtId="0" fontId="3" fillId="19" borderId="6" xfId="0" applyFont="1" applyFill="1" applyBorder="1"/>
    <xf numFmtId="0" fontId="3" fillId="19" borderId="7" xfId="0" applyFont="1" applyFill="1" applyBorder="1"/>
    <xf numFmtId="0" fontId="3" fillId="19" borderId="1" xfId="0" applyFont="1" applyFill="1" applyBorder="1"/>
    <xf numFmtId="0" fontId="3" fillId="19" borderId="2" xfId="0" applyFont="1" applyFill="1" applyBorder="1"/>
    <xf numFmtId="0" fontId="3" fillId="19" borderId="8" xfId="0" applyFont="1" applyFill="1" applyBorder="1"/>
    <xf numFmtId="0" fontId="0" fillId="22" borderId="0" xfId="0" applyFill="1" applyBorder="1"/>
    <xf numFmtId="9" fontId="0" fillId="22" borderId="0" xfId="0" applyNumberFormat="1" applyFont="1" applyFill="1" applyBorder="1"/>
    <xf numFmtId="0" fontId="0" fillId="22" borderId="5" xfId="0" applyFill="1" applyBorder="1"/>
    <xf numFmtId="0" fontId="0" fillId="22" borderId="6" xfId="0" applyFill="1" applyBorder="1"/>
    <xf numFmtId="2" fontId="0" fillId="22" borderId="6" xfId="0" applyNumberFormat="1" applyFont="1" applyFill="1" applyBorder="1"/>
    <xf numFmtId="0" fontId="0" fillId="22" borderId="7" xfId="0" applyFill="1" applyBorder="1"/>
    <xf numFmtId="0" fontId="0" fillId="22" borderId="11" xfId="0" applyFill="1" applyBorder="1"/>
    <xf numFmtId="0" fontId="0" fillId="22" borderId="12" xfId="0" applyFill="1" applyBorder="1"/>
    <xf numFmtId="0" fontId="0" fillId="22" borderId="1" xfId="0" applyFill="1" applyBorder="1"/>
    <xf numFmtId="0" fontId="0" fillId="22" borderId="2" xfId="0" applyFill="1" applyBorder="1"/>
    <xf numFmtId="9" fontId="0" fillId="22" borderId="2" xfId="1" applyFont="1" applyFill="1" applyBorder="1"/>
    <xf numFmtId="0" fontId="0" fillId="22" borderId="8" xfId="0" applyFill="1" applyBorder="1"/>
    <xf numFmtId="0" fontId="0" fillId="17" borderId="0" xfId="0" applyFill="1" applyBorder="1"/>
    <xf numFmtId="165" fontId="0" fillId="0" borderId="0" xfId="0" applyNumberFormat="1" applyBorder="1"/>
    <xf numFmtId="9" fontId="0" fillId="0" borderId="0" xfId="0" applyNumberFormat="1" applyBorder="1"/>
    <xf numFmtId="0" fontId="0" fillId="0" borderId="0" xfId="0" applyNumberFormat="1"/>
    <xf numFmtId="0" fontId="2" fillId="20" borderId="5" xfId="0" applyFont="1" applyFill="1" applyBorder="1"/>
    <xf numFmtId="0" fontId="2" fillId="20" borderId="6" xfId="0" applyFont="1" applyFill="1" applyBorder="1"/>
    <xf numFmtId="0" fontId="2" fillId="20" borderId="7" xfId="0" applyFont="1" applyFill="1" applyBorder="1"/>
    <xf numFmtId="0" fontId="2" fillId="20" borderId="11" xfId="0" applyFont="1" applyFill="1" applyBorder="1"/>
    <xf numFmtId="0" fontId="2" fillId="20" borderId="0" xfId="0" applyFont="1" applyFill="1" applyBorder="1"/>
    <xf numFmtId="0" fontId="2" fillId="20" borderId="0" xfId="0" applyFont="1" applyFill="1" applyBorder="1" applyAlignment="1">
      <alignment horizontal="center"/>
    </xf>
    <xf numFmtId="0" fontId="2" fillId="20" borderId="12" xfId="0" applyFont="1" applyFill="1" applyBorder="1"/>
    <xf numFmtId="0" fontId="2" fillId="20" borderId="1" xfId="0" applyFont="1" applyFill="1" applyBorder="1"/>
    <xf numFmtId="0" fontId="2" fillId="20" borderId="2" xfId="0" applyFont="1" applyFill="1" applyBorder="1"/>
    <xf numFmtId="0" fontId="2" fillId="20" borderId="2" xfId="0" applyFont="1" applyFill="1" applyBorder="1" applyAlignment="1">
      <alignment horizontal="center"/>
    </xf>
    <xf numFmtId="0" fontId="2" fillId="20" borderId="8" xfId="0" applyFont="1" applyFill="1" applyBorder="1"/>
    <xf numFmtId="164" fontId="4" fillId="9" borderId="0" xfId="2" applyNumberFormat="1" applyFont="1" applyFill="1" applyAlignment="1">
      <alignment vertical="top"/>
    </xf>
    <xf numFmtId="0" fontId="3" fillId="19" borderId="0" xfId="0" applyFont="1" applyFill="1" applyBorder="1"/>
    <xf numFmtId="0" fontId="3" fillId="19" borderId="11" xfId="0" applyFont="1" applyFill="1" applyBorder="1"/>
    <xf numFmtId="0" fontId="3" fillId="19" borderId="12" xfId="0" applyFont="1" applyFill="1" applyBorder="1"/>
    <xf numFmtId="0" fontId="18" fillId="8" borderId="0" xfId="0" applyFont="1" applyFill="1"/>
    <xf numFmtId="0" fontId="18" fillId="8" borderId="0" xfId="0" applyFont="1" applyFill="1" applyProtection="1"/>
    <xf numFmtId="0" fontId="19" fillId="8" borderId="0" xfId="0" applyFont="1" applyFill="1"/>
    <xf numFmtId="164" fontId="0" fillId="13" borderId="0" xfId="0" applyNumberFormat="1" applyFill="1"/>
    <xf numFmtId="10" fontId="3" fillId="23" borderId="0" xfId="0" applyNumberFormat="1" applyFont="1" applyFill="1"/>
    <xf numFmtId="0" fontId="3" fillId="23" borderId="0" xfId="0" applyFont="1" applyFill="1"/>
    <xf numFmtId="0" fontId="3" fillId="23" borderId="0" xfId="0" applyNumberFormat="1" applyFont="1" applyFill="1"/>
    <xf numFmtId="9" fontId="3" fillId="23" borderId="0" xfId="0" applyNumberFormat="1" applyFont="1" applyFill="1"/>
    <xf numFmtId="2" fontId="3" fillId="23" borderId="0" xfId="0" applyNumberFormat="1" applyFont="1" applyFill="1"/>
    <xf numFmtId="164" fontId="3" fillId="23" borderId="0" xfId="0" applyNumberFormat="1" applyFont="1" applyFill="1"/>
    <xf numFmtId="0" fontId="20" fillId="8" borderId="0" xfId="0" applyFont="1" applyFill="1"/>
    <xf numFmtId="0" fontId="21" fillId="8" borderId="0" xfId="0" applyFont="1" applyFill="1"/>
    <xf numFmtId="10" fontId="3" fillId="0" borderId="0" xfId="0" applyNumberFormat="1" applyFont="1" applyFill="1"/>
    <xf numFmtId="0" fontId="3" fillId="0" borderId="0" xfId="0" applyFont="1" applyFill="1"/>
    <xf numFmtId="2" fontId="3" fillId="0" borderId="0" xfId="0" applyNumberFormat="1" applyFont="1" applyFill="1"/>
    <xf numFmtId="0" fontId="3" fillId="0" borderId="0" xfId="0" applyNumberFormat="1" applyFont="1" applyFill="1"/>
    <xf numFmtId="164" fontId="3" fillId="0" borderId="0" xfId="0" applyNumberFormat="1" applyFont="1" applyFill="1"/>
    <xf numFmtId="0" fontId="3" fillId="0" borderId="0" xfId="0" applyFont="1" applyFill="1" applyAlignment="1"/>
    <xf numFmtId="0" fontId="3" fillId="0" borderId="0" xfId="0" applyFont="1" applyFill="1" applyAlignment="1">
      <alignment wrapText="1"/>
    </xf>
    <xf numFmtId="7" fontId="3" fillId="23" borderId="0" xfId="0" applyNumberFormat="1" applyFont="1" applyFill="1"/>
    <xf numFmtId="0" fontId="3" fillId="23" borderId="0" xfId="0" applyFont="1" applyFill="1" applyAlignment="1">
      <alignment horizontal="center" wrapText="1"/>
    </xf>
    <xf numFmtId="0" fontId="3" fillId="23" borderId="0" xfId="0" applyFont="1" applyFill="1" applyAlignment="1">
      <alignment horizontal="center" vertical="center" wrapText="1"/>
    </xf>
    <xf numFmtId="0" fontId="3" fillId="8" borderId="0" xfId="0" applyFont="1" applyFill="1" applyAlignment="1"/>
    <xf numFmtId="0" fontId="3" fillId="8" borderId="0" xfId="0" applyFont="1" applyFill="1" applyAlignment="1">
      <alignment wrapText="1"/>
    </xf>
    <xf numFmtId="0" fontId="3" fillId="0" borderId="0" xfId="0" applyFont="1"/>
    <xf numFmtId="9" fontId="3" fillId="0" borderId="0" xfId="0" applyNumberFormat="1" applyFont="1"/>
    <xf numFmtId="10" fontId="3" fillId="0" borderId="0" xfId="0" applyNumberFormat="1" applyFont="1"/>
    <xf numFmtId="0" fontId="0" fillId="0" borderId="0" xfId="0" applyAlignment="1">
      <alignment wrapText="1"/>
    </xf>
    <xf numFmtId="0" fontId="0" fillId="22" borderId="0" xfId="0" applyFill="1" applyAlignment="1">
      <alignment wrapText="1"/>
    </xf>
    <xf numFmtId="0" fontId="0" fillId="0" borderId="0" xfId="0" applyAlignment="1"/>
    <xf numFmtId="0" fontId="0" fillId="8" borderId="19" xfId="0" applyFill="1" applyBorder="1"/>
    <xf numFmtId="0" fontId="0" fillId="8" borderId="21" xfId="0" applyFill="1" applyBorder="1"/>
    <xf numFmtId="0" fontId="0" fillId="23" borderId="0" xfId="0" applyFill="1"/>
    <xf numFmtId="8" fontId="0" fillId="0" borderId="0" xfId="0" applyNumberFormat="1"/>
    <xf numFmtId="0" fontId="0" fillId="0" borderId="0" xfId="0" applyFill="1" applyBorder="1"/>
    <xf numFmtId="166" fontId="0" fillId="9" borderId="0" xfId="0" applyNumberFormat="1" applyFill="1"/>
    <xf numFmtId="0" fontId="2" fillId="22" borderId="20" xfId="0" applyFont="1" applyFill="1" applyBorder="1" applyAlignment="1">
      <alignment horizontal="center" vertical="center" textRotation="90" wrapText="1"/>
    </xf>
    <xf numFmtId="0" fontId="16" fillId="21" borderId="15" xfId="7" applyFont="1" applyFill="1" applyBorder="1" applyAlignment="1">
      <alignment horizontal="center" vertical="center" wrapText="1"/>
    </xf>
    <xf numFmtId="0" fontId="16" fillId="21" borderId="0" xfId="7" applyFont="1" applyFill="1" applyBorder="1" applyAlignment="1">
      <alignment horizontal="center" vertical="center" wrapText="1"/>
    </xf>
    <xf numFmtId="0" fontId="16" fillId="21" borderId="3" xfId="7" applyFont="1" applyFill="1" applyBorder="1" applyAlignment="1">
      <alignment horizontal="center" vertical="center" wrapText="1"/>
    </xf>
    <xf numFmtId="0" fontId="17" fillId="18" borderId="15" xfId="0" applyFont="1" applyFill="1" applyBorder="1" applyAlignment="1">
      <alignment horizontal="center" vertical="center" wrapText="1"/>
    </xf>
    <xf numFmtId="0" fontId="17" fillId="18" borderId="16" xfId="0" applyFont="1" applyFill="1" applyBorder="1" applyAlignment="1">
      <alignment horizontal="center" vertical="center" wrapText="1"/>
    </xf>
    <xf numFmtId="0" fontId="17" fillId="18" borderId="0" xfId="0" applyFont="1" applyFill="1" applyBorder="1" applyAlignment="1">
      <alignment horizontal="center" vertical="center" wrapText="1"/>
    </xf>
    <xf numFmtId="0" fontId="17" fillId="18" borderId="17" xfId="0" applyFont="1" applyFill="1" applyBorder="1" applyAlignment="1">
      <alignment horizontal="center" vertical="center" wrapText="1"/>
    </xf>
    <xf numFmtId="0" fontId="17" fillId="18" borderId="3" xfId="0" applyFont="1" applyFill="1" applyBorder="1" applyAlignment="1">
      <alignment horizontal="center" vertical="center" wrapText="1"/>
    </xf>
    <xf numFmtId="0" fontId="17" fillId="18" borderId="4" xfId="0" applyFont="1" applyFill="1" applyBorder="1" applyAlignment="1">
      <alignment horizontal="center" vertical="center" wrapText="1"/>
    </xf>
    <xf numFmtId="0" fontId="2" fillId="20" borderId="6" xfId="0" applyFont="1" applyFill="1" applyBorder="1" applyAlignment="1">
      <alignment horizontal="center"/>
    </xf>
    <xf numFmtId="0" fontId="14" fillId="18" borderId="13" xfId="0" applyFont="1" applyFill="1" applyBorder="1" applyAlignment="1">
      <alignment horizontal="center"/>
    </xf>
    <xf numFmtId="9" fontId="14" fillId="18" borderId="13" xfId="0" applyNumberFormat="1" applyFont="1" applyFill="1" applyBorder="1" applyAlignment="1">
      <alignment horizontal="center"/>
    </xf>
    <xf numFmtId="9" fontId="14" fillId="18" borderId="14" xfId="0" applyNumberFormat="1" applyFont="1" applyFill="1" applyBorder="1" applyAlignment="1">
      <alignment horizontal="center"/>
    </xf>
    <xf numFmtId="0" fontId="17" fillId="18" borderId="9" xfId="0" applyFont="1" applyFill="1" applyBorder="1" applyAlignment="1">
      <alignment horizontal="center" wrapText="1"/>
    </xf>
    <xf numFmtId="0" fontId="17" fillId="18" borderId="10" xfId="0" applyFont="1" applyFill="1" applyBorder="1" applyAlignment="1">
      <alignment horizontal="center" wrapText="1"/>
    </xf>
    <xf numFmtId="9" fontId="16" fillId="21" borderId="18" xfId="7" applyNumberFormat="1" applyFont="1" applyFill="1" applyBorder="1" applyAlignment="1">
      <alignment horizontal="center" vertical="center" wrapText="1"/>
    </xf>
    <xf numFmtId="9" fontId="16" fillId="21" borderId="9" xfId="7" applyNumberFormat="1" applyFont="1" applyFill="1" applyBorder="1" applyAlignment="1">
      <alignment horizontal="center" vertical="center" wrapText="1"/>
    </xf>
    <xf numFmtId="0" fontId="16" fillId="21" borderId="18" xfId="7" applyFont="1" applyFill="1" applyBorder="1" applyAlignment="1">
      <alignment horizontal="center" vertical="center" wrapText="1"/>
    </xf>
    <xf numFmtId="0" fontId="16" fillId="21" borderId="9" xfId="7" applyFont="1" applyFill="1" applyBorder="1" applyAlignment="1">
      <alignment horizontal="center" vertical="center" wrapText="1"/>
    </xf>
    <xf numFmtId="0" fontId="16" fillId="21" borderId="18" xfId="7" applyFont="1" applyFill="1" applyBorder="1" applyAlignment="1">
      <alignment horizontal="center" vertical="center"/>
    </xf>
    <xf numFmtId="0" fontId="16" fillId="21" borderId="9" xfId="7" applyFont="1" applyFill="1" applyBorder="1" applyAlignment="1">
      <alignment horizontal="center" vertical="center"/>
    </xf>
    <xf numFmtId="0" fontId="3" fillId="23" borderId="0" xfId="0" applyFont="1" applyFill="1" applyAlignment="1">
      <alignment horizontal="center" vertical="center" wrapText="1"/>
    </xf>
    <xf numFmtId="0" fontId="3" fillId="8" borderId="0" xfId="0" applyFont="1" applyFill="1" applyAlignment="1">
      <alignment horizontal="center" wrapText="1"/>
    </xf>
    <xf numFmtId="0" fontId="3" fillId="23" borderId="0" xfId="0" applyFont="1" applyFill="1" applyAlignment="1">
      <alignment horizontal="center" wrapText="1"/>
    </xf>
    <xf numFmtId="0" fontId="12" fillId="8" borderId="0" xfId="0" applyFont="1" applyFill="1" applyAlignment="1">
      <alignment horizontal="left" vertical="center"/>
    </xf>
    <xf numFmtId="0" fontId="2" fillId="15" borderId="0" xfId="0" applyFont="1" applyFill="1" applyAlignment="1">
      <alignment horizontal="center"/>
    </xf>
    <xf numFmtId="0" fontId="18" fillId="14" borderId="0" xfId="0" applyFont="1" applyFill="1" applyAlignment="1">
      <alignment horizontal="center" wrapText="1"/>
    </xf>
    <xf numFmtId="0" fontId="0" fillId="13" borderId="0" xfId="0" applyFill="1" applyBorder="1" applyAlignment="1">
      <alignment horizontal="center" wrapText="1"/>
    </xf>
    <xf numFmtId="0" fontId="22" fillId="24" borderId="0" xfId="0" applyFont="1" applyFill="1" applyAlignment="1">
      <alignment horizontal="center" wrapText="1"/>
    </xf>
  </cellXfs>
  <cellStyles count="8">
    <cellStyle name="Hyperlink" xfId="7" builtinId="8"/>
    <cellStyle name="Normal" xfId="0" builtinId="0"/>
    <cellStyle name="Normal 2" xfId="2" xr:uid="{0CFAB4ED-C80E-48D4-87F7-E994DA5AEF73}"/>
    <cellStyle name="Normal 73" xfId="3" xr:uid="{8E711722-5CA9-4BED-AC88-21130FB3D3A8}"/>
    <cellStyle name="Normal_BTPS Analysis_09-14_FC_27.6.12" xfId="4" xr:uid="{492A13B6-72A0-4780-B23D-1165A4C8220B}"/>
    <cellStyle name="Normal_Forms Annexure-I" xfId="6" xr:uid="{158D2866-9794-4DB3-BD5B-42F54FD26E11}"/>
    <cellStyle name="Normal_Forms Annexure-I_Petition model 2014-19_v18_Coal_Simple Dep_25.7.14 5,5(1),W,BC" xfId="5" xr:uid="{744B2D80-B74E-4A52-B166-483AB0321E23}"/>
    <cellStyle name="Percent" xfId="1" builtinId="5"/>
  </cellStyles>
  <dxfs count="0"/>
  <tableStyles count="0" defaultTableStyle="TableStyleMedium9" defaultPivotStyle="PivotStyleLight16"/>
  <colors>
    <mruColors>
      <color rgb="FF007400"/>
      <color rgb="FF0099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Solar Tariff</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40000" dist="23000" dir="5400000" rotWithShape="0">
                <a:srgbClr val="000000">
                  <a:alpha val="35000"/>
                </a:srgbClr>
              </a:outerShdw>
            </a:effectLst>
          </c:spPr>
          <c:marker>
            <c:symbol val="none"/>
          </c:marker>
          <c:xVal>
            <c:numRef>
              <c:f>Output!$D$2:$AB$2</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xVal>
          <c:yVal>
            <c:numRef>
              <c:f>Output!$D$3:$AB$3</c:f>
              <c:numCache>
                <c:formatCode>"₹"\ #,##0.00</c:formatCode>
                <c:ptCount val="25"/>
                <c:pt idx="0">
                  <c:v>3.1498882788631146</c:v>
                </c:pt>
                <c:pt idx="1">
                  <c:v>3.0931407114988261</c:v>
                </c:pt>
                <c:pt idx="2">
                  <c:v>3.0425862454404533</c:v>
                </c:pt>
                <c:pt idx="3">
                  <c:v>2.9871986987474846</c:v>
                </c:pt>
                <c:pt idx="4">
                  <c:v>2.9383586464683429</c:v>
                </c:pt>
                <c:pt idx="5">
                  <c:v>3.0173653500763518</c:v>
                </c:pt>
                <c:pt idx="6">
                  <c:v>2.9813253474091153</c:v>
                </c:pt>
                <c:pt idx="7">
                  <c:v>2.9406830274586957</c:v>
                </c:pt>
                <c:pt idx="8">
                  <c:v>2.9016230304560526</c:v>
                </c:pt>
                <c:pt idx="9">
                  <c:v>2.8642358652737991</c:v>
                </c:pt>
                <c:pt idx="10">
                  <c:v>3.0233069162862098</c:v>
                </c:pt>
                <c:pt idx="11">
                  <c:v>2.989557945923178</c:v>
                </c:pt>
                <c:pt idx="12">
                  <c:v>2.9577855981043206</c:v>
                </c:pt>
                <c:pt idx="13">
                  <c:v>2.3245956366718308</c:v>
                </c:pt>
                <c:pt idx="14">
                  <c:v>2.3566306023126877</c:v>
                </c:pt>
                <c:pt idx="15">
                  <c:v>2.3997980462256754</c:v>
                </c:pt>
                <c:pt idx="16">
                  <c:v>2.4454346679304866</c:v>
                </c:pt>
                <c:pt idx="17">
                  <c:v>2.493681704396812</c:v>
                </c:pt>
                <c:pt idx="18">
                  <c:v>2.5446884713490117</c:v>
                </c:pt>
                <c:pt idx="19">
                  <c:v>2.5986128253708771</c:v>
                </c:pt>
                <c:pt idx="20">
                  <c:v>2.6556216524427936</c:v>
                </c:pt>
                <c:pt idx="21">
                  <c:v>2.7158913844232235</c:v>
                </c:pt>
                <c:pt idx="22">
                  <c:v>2.779608545072934</c:v>
                </c:pt>
                <c:pt idx="23">
                  <c:v>2.8469703273118077</c:v>
                </c:pt>
                <c:pt idx="24">
                  <c:v>2.9181852034947449</c:v>
                </c:pt>
              </c:numCache>
            </c:numRef>
          </c:yVal>
          <c:smooth val="1"/>
          <c:extLst>
            <c:ext xmlns:c16="http://schemas.microsoft.com/office/drawing/2014/chart" uri="{C3380CC4-5D6E-409C-BE32-E72D297353CC}">
              <c16:uniqueId val="{00000000-0AC5-4B82-AC9C-367ECD3E6CAB}"/>
            </c:ext>
          </c:extLst>
        </c:ser>
        <c:dLbls>
          <c:showLegendKey val="0"/>
          <c:showVal val="0"/>
          <c:showCatName val="0"/>
          <c:showSerName val="0"/>
          <c:showPercent val="0"/>
          <c:showBubbleSize val="0"/>
        </c:dLbls>
        <c:axId val="687366479"/>
        <c:axId val="121296367"/>
      </c:scatterChart>
      <c:valAx>
        <c:axId val="6873664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Plant Life (Years)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296367"/>
        <c:crosses val="autoZero"/>
        <c:crossBetween val="midCat"/>
      </c:valAx>
      <c:valAx>
        <c:axId val="1212963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Per Unit Tariff</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quot;₹&quot;\ #,##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3664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Radio" checked="Checked" firstButton="1"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99060</xdr:colOff>
          <xdr:row>3</xdr:row>
          <xdr:rowOff>22860</xdr:rowOff>
        </xdr:from>
        <xdr:to>
          <xdr:col>9</xdr:col>
          <xdr:colOff>784860</xdr:colOff>
          <xdr:row>3</xdr:row>
          <xdr:rowOff>175260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Default PV</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4</xdr:row>
          <xdr:rowOff>38100</xdr:rowOff>
        </xdr:from>
        <xdr:to>
          <xdr:col>9</xdr:col>
          <xdr:colOff>784860</xdr:colOff>
          <xdr:row>4</xdr:row>
          <xdr:rowOff>182880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Default 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106680</xdr:colOff>
          <xdr:row>2</xdr:row>
          <xdr:rowOff>22860</xdr:rowOff>
        </xdr:from>
        <xdr:to>
          <xdr:col>9</xdr:col>
          <xdr:colOff>609600</xdr:colOff>
          <xdr:row>2</xdr:row>
          <xdr:rowOff>160020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Check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26</xdr:row>
          <xdr:rowOff>22860</xdr:rowOff>
        </xdr:from>
        <xdr:to>
          <xdr:col>3</xdr:col>
          <xdr:colOff>632460</xdr:colOff>
          <xdr:row>26</xdr:row>
          <xdr:rowOff>175260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Tariff</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106680</xdr:colOff>
          <xdr:row>26</xdr:row>
          <xdr:rowOff>22860</xdr:rowOff>
        </xdr:from>
        <xdr:to>
          <xdr:col>4</xdr:col>
          <xdr:colOff>609600</xdr:colOff>
          <xdr:row>26</xdr:row>
          <xdr:rowOff>160020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23</xdr:row>
          <xdr:rowOff>22860</xdr:rowOff>
        </xdr:from>
        <xdr:to>
          <xdr:col>5</xdr:col>
          <xdr:colOff>22860</xdr:colOff>
          <xdr:row>23</xdr:row>
          <xdr:rowOff>175260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Tariff</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251460</xdr:colOff>
          <xdr:row>9</xdr:row>
          <xdr:rowOff>22860</xdr:rowOff>
        </xdr:from>
        <xdr:to>
          <xdr:col>2</xdr:col>
          <xdr:colOff>541020</xdr:colOff>
          <xdr:row>9</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10</xdr:row>
          <xdr:rowOff>22860</xdr:rowOff>
        </xdr:from>
        <xdr:to>
          <xdr:col>2</xdr:col>
          <xdr:colOff>541020</xdr:colOff>
          <xdr:row>10</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11</xdr:row>
          <xdr:rowOff>22860</xdr:rowOff>
        </xdr:from>
        <xdr:to>
          <xdr:col>2</xdr:col>
          <xdr:colOff>541020</xdr:colOff>
          <xdr:row>11</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12</xdr:row>
          <xdr:rowOff>22860</xdr:rowOff>
        </xdr:from>
        <xdr:to>
          <xdr:col>2</xdr:col>
          <xdr:colOff>541020</xdr:colOff>
          <xdr:row>12</xdr:row>
          <xdr:rowOff>152400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13</xdr:row>
          <xdr:rowOff>22860</xdr:rowOff>
        </xdr:from>
        <xdr:to>
          <xdr:col>2</xdr:col>
          <xdr:colOff>541020</xdr:colOff>
          <xdr:row>13</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14</xdr:row>
          <xdr:rowOff>22860</xdr:rowOff>
        </xdr:from>
        <xdr:to>
          <xdr:col>2</xdr:col>
          <xdr:colOff>541020</xdr:colOff>
          <xdr:row>14</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20</xdr:row>
          <xdr:rowOff>38100</xdr:rowOff>
        </xdr:from>
        <xdr:to>
          <xdr:col>2</xdr:col>
          <xdr:colOff>541020</xdr:colOff>
          <xdr:row>20</xdr:row>
          <xdr:rowOff>175260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23</xdr:row>
          <xdr:rowOff>22860</xdr:rowOff>
        </xdr:from>
        <xdr:to>
          <xdr:col>2</xdr:col>
          <xdr:colOff>541020</xdr:colOff>
          <xdr:row>23</xdr:row>
          <xdr:rowOff>152400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24</xdr:row>
          <xdr:rowOff>22860</xdr:rowOff>
        </xdr:from>
        <xdr:to>
          <xdr:col>2</xdr:col>
          <xdr:colOff>541020</xdr:colOff>
          <xdr:row>24</xdr:row>
          <xdr:rowOff>152400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3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9</xdr:row>
          <xdr:rowOff>30480</xdr:rowOff>
        </xdr:from>
        <xdr:to>
          <xdr:col>3</xdr:col>
          <xdr:colOff>502920</xdr:colOff>
          <xdr:row>9</xdr:row>
          <xdr:rowOff>160020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10</xdr:row>
          <xdr:rowOff>30480</xdr:rowOff>
        </xdr:from>
        <xdr:to>
          <xdr:col>3</xdr:col>
          <xdr:colOff>502920</xdr:colOff>
          <xdr:row>10</xdr:row>
          <xdr:rowOff>160020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11</xdr:row>
          <xdr:rowOff>30480</xdr:rowOff>
        </xdr:from>
        <xdr:to>
          <xdr:col>3</xdr:col>
          <xdr:colOff>525780</xdr:colOff>
          <xdr:row>11</xdr:row>
          <xdr:rowOff>160020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198120</xdr:colOff>
          <xdr:row>12</xdr:row>
          <xdr:rowOff>30480</xdr:rowOff>
        </xdr:from>
        <xdr:to>
          <xdr:col>3</xdr:col>
          <xdr:colOff>518160</xdr:colOff>
          <xdr:row>12</xdr:row>
          <xdr:rowOff>160020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3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198120</xdr:colOff>
          <xdr:row>13</xdr:row>
          <xdr:rowOff>30480</xdr:rowOff>
        </xdr:from>
        <xdr:to>
          <xdr:col>3</xdr:col>
          <xdr:colOff>518160</xdr:colOff>
          <xdr:row>13</xdr:row>
          <xdr:rowOff>160020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198120</xdr:colOff>
          <xdr:row>14</xdr:row>
          <xdr:rowOff>30480</xdr:rowOff>
        </xdr:from>
        <xdr:to>
          <xdr:col>3</xdr:col>
          <xdr:colOff>518160</xdr:colOff>
          <xdr:row>14</xdr:row>
          <xdr:rowOff>160020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23</xdr:row>
          <xdr:rowOff>30480</xdr:rowOff>
        </xdr:from>
        <xdr:to>
          <xdr:col>3</xdr:col>
          <xdr:colOff>525780</xdr:colOff>
          <xdr:row>23</xdr:row>
          <xdr:rowOff>160020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198120</xdr:colOff>
          <xdr:row>24</xdr:row>
          <xdr:rowOff>30480</xdr:rowOff>
        </xdr:from>
        <xdr:to>
          <xdr:col>3</xdr:col>
          <xdr:colOff>518160</xdr:colOff>
          <xdr:row>24</xdr:row>
          <xdr:rowOff>160020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6</xdr:col>
      <xdr:colOff>19050</xdr:colOff>
      <xdr:row>7</xdr:row>
      <xdr:rowOff>0</xdr:rowOff>
    </xdr:from>
    <xdr:to>
      <xdr:col>12</xdr:col>
      <xdr:colOff>742949</xdr:colOff>
      <xdr:row>28</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251460</xdr:colOff>
          <xdr:row>25</xdr:row>
          <xdr:rowOff>22860</xdr:rowOff>
        </xdr:from>
        <xdr:to>
          <xdr:col>2</xdr:col>
          <xdr:colOff>533400</xdr:colOff>
          <xdr:row>25</xdr:row>
          <xdr:rowOff>175260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3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25</xdr:row>
          <xdr:rowOff>30480</xdr:rowOff>
        </xdr:from>
        <xdr:to>
          <xdr:col>3</xdr:col>
          <xdr:colOff>495300</xdr:colOff>
          <xdr:row>25</xdr:row>
          <xdr:rowOff>182880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300-00001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9</xdr:row>
          <xdr:rowOff>22860</xdr:rowOff>
        </xdr:from>
        <xdr:to>
          <xdr:col>5</xdr:col>
          <xdr:colOff>716280</xdr:colOff>
          <xdr:row>9</xdr:row>
          <xdr:rowOff>175260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300-00001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Default PV</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10</xdr:row>
          <xdr:rowOff>38100</xdr:rowOff>
        </xdr:from>
        <xdr:to>
          <xdr:col>5</xdr:col>
          <xdr:colOff>716280</xdr:colOff>
          <xdr:row>10</xdr:row>
          <xdr:rowOff>182880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3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Default 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16</xdr:row>
          <xdr:rowOff>22860</xdr:rowOff>
        </xdr:from>
        <xdr:to>
          <xdr:col>2</xdr:col>
          <xdr:colOff>563880</xdr:colOff>
          <xdr:row>16</xdr:row>
          <xdr:rowOff>160020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198120</xdr:colOff>
          <xdr:row>16</xdr:row>
          <xdr:rowOff>7620</xdr:rowOff>
        </xdr:from>
        <xdr:to>
          <xdr:col>3</xdr:col>
          <xdr:colOff>525780</xdr:colOff>
          <xdr:row>16</xdr:row>
          <xdr:rowOff>152400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3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20</xdr:row>
          <xdr:rowOff>30480</xdr:rowOff>
        </xdr:from>
        <xdr:to>
          <xdr:col>3</xdr:col>
          <xdr:colOff>525780</xdr:colOff>
          <xdr:row>20</xdr:row>
          <xdr:rowOff>160020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300-00001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21</xdr:row>
          <xdr:rowOff>30480</xdr:rowOff>
        </xdr:from>
        <xdr:to>
          <xdr:col>3</xdr:col>
          <xdr:colOff>525780</xdr:colOff>
          <xdr:row>21</xdr:row>
          <xdr:rowOff>160020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300-00002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22</xdr:row>
          <xdr:rowOff>30480</xdr:rowOff>
        </xdr:from>
        <xdr:to>
          <xdr:col>3</xdr:col>
          <xdr:colOff>525780</xdr:colOff>
          <xdr:row>22</xdr:row>
          <xdr:rowOff>160020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21</xdr:row>
          <xdr:rowOff>38100</xdr:rowOff>
        </xdr:from>
        <xdr:to>
          <xdr:col>2</xdr:col>
          <xdr:colOff>541020</xdr:colOff>
          <xdr:row>21</xdr:row>
          <xdr:rowOff>175260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22</xdr:row>
          <xdr:rowOff>38100</xdr:rowOff>
        </xdr:from>
        <xdr:to>
          <xdr:col>2</xdr:col>
          <xdr:colOff>541020</xdr:colOff>
          <xdr:row>22</xdr:row>
          <xdr:rowOff>175260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11</xdr:row>
          <xdr:rowOff>22860</xdr:rowOff>
        </xdr:from>
        <xdr:to>
          <xdr:col>5</xdr:col>
          <xdr:colOff>609600</xdr:colOff>
          <xdr:row>11</xdr:row>
          <xdr:rowOff>160020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3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17</xdr:row>
          <xdr:rowOff>22860</xdr:rowOff>
        </xdr:from>
        <xdr:to>
          <xdr:col>2</xdr:col>
          <xdr:colOff>563880</xdr:colOff>
          <xdr:row>17</xdr:row>
          <xdr:rowOff>160020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18</xdr:row>
          <xdr:rowOff>22860</xdr:rowOff>
        </xdr:from>
        <xdr:to>
          <xdr:col>2</xdr:col>
          <xdr:colOff>563880</xdr:colOff>
          <xdr:row>18</xdr:row>
          <xdr:rowOff>160020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198120</xdr:colOff>
          <xdr:row>17</xdr:row>
          <xdr:rowOff>30480</xdr:rowOff>
        </xdr:from>
        <xdr:to>
          <xdr:col>3</xdr:col>
          <xdr:colOff>525780</xdr:colOff>
          <xdr:row>17</xdr:row>
          <xdr:rowOff>152400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198120</xdr:colOff>
          <xdr:row>18</xdr:row>
          <xdr:rowOff>30480</xdr:rowOff>
        </xdr:from>
        <xdr:to>
          <xdr:col>3</xdr:col>
          <xdr:colOff>525780</xdr:colOff>
          <xdr:row>18</xdr:row>
          <xdr:rowOff>152400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300-00002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xdr:row>
          <xdr:rowOff>22860</xdr:rowOff>
        </xdr:from>
        <xdr:to>
          <xdr:col>4</xdr:col>
          <xdr:colOff>723900</xdr:colOff>
          <xdr:row>1</xdr:row>
          <xdr:rowOff>175260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Default PV</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0</xdr:row>
          <xdr:rowOff>38100</xdr:rowOff>
        </xdr:from>
        <xdr:to>
          <xdr:col>2</xdr:col>
          <xdr:colOff>419100</xdr:colOff>
          <xdr:row>0</xdr:row>
          <xdr:rowOff>182880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Solar Thermal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601980</xdr:colOff>
          <xdr:row>0</xdr:row>
          <xdr:rowOff>30480</xdr:rowOff>
        </xdr:from>
        <xdr:to>
          <xdr:col>3</xdr:col>
          <xdr:colOff>594360</xdr:colOff>
          <xdr:row>0</xdr:row>
          <xdr:rowOff>182880</xdr:rowOff>
        </xdr:to>
        <xdr:sp macro="" textlink="">
          <xdr:nvSpPr>
            <xdr:cNvPr id="4099" name="Option 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Solar PV</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30480</xdr:colOff>
          <xdr:row>2</xdr:row>
          <xdr:rowOff>38100</xdr:rowOff>
        </xdr:from>
        <xdr:to>
          <xdr:col>4</xdr:col>
          <xdr:colOff>716280</xdr:colOff>
          <xdr:row>2</xdr:row>
          <xdr:rowOff>182880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Default 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se%20Model%20-%20Project%20-%202019-2024%20-%20Final_Correc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Normative Parameters"/>
      <sheetName val="Capital Cost"/>
      <sheetName val="O&amp;M Expense Data"/>
      <sheetName val="Depreciation"/>
      <sheetName val="Basic Tariff Model"/>
      <sheetName val="Output"/>
      <sheetName val="Financial"/>
      <sheetName val="Comparison"/>
      <sheetName val="Coal Grade Info"/>
    </sheetNames>
    <sheetDataSet>
      <sheetData sheetId="0"/>
      <sheetData sheetId="1"/>
      <sheetData sheetId="2">
        <row r="4">
          <cell r="D4">
            <v>35685.949999999997</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row>
      </sheetData>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7.xml"/><Relationship Id="rId18" Type="http://schemas.openxmlformats.org/officeDocument/2006/relationships/ctrlProp" Target="../ctrlProps/ctrlProp22.xml"/><Relationship Id="rId26" Type="http://schemas.openxmlformats.org/officeDocument/2006/relationships/ctrlProp" Target="../ctrlProps/ctrlProp30.xml"/><Relationship Id="rId3" Type="http://schemas.openxmlformats.org/officeDocument/2006/relationships/ctrlProp" Target="../ctrlProps/ctrlProp7.xml"/><Relationship Id="rId21" Type="http://schemas.openxmlformats.org/officeDocument/2006/relationships/ctrlProp" Target="../ctrlProps/ctrlProp25.xml"/><Relationship Id="rId34" Type="http://schemas.openxmlformats.org/officeDocument/2006/relationships/ctrlProp" Target="../ctrlProps/ctrlProp38.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33" Type="http://schemas.openxmlformats.org/officeDocument/2006/relationships/ctrlProp" Target="../ctrlProps/ctrlProp37.xml"/><Relationship Id="rId2" Type="http://schemas.openxmlformats.org/officeDocument/2006/relationships/vmlDrawing" Target="../drawings/vmlDrawing3.vml"/><Relationship Id="rId16" Type="http://schemas.openxmlformats.org/officeDocument/2006/relationships/ctrlProp" Target="../ctrlProps/ctrlProp20.xml"/><Relationship Id="rId20" Type="http://schemas.openxmlformats.org/officeDocument/2006/relationships/ctrlProp" Target="../ctrlProps/ctrlProp24.xml"/><Relationship Id="rId29" Type="http://schemas.openxmlformats.org/officeDocument/2006/relationships/ctrlProp" Target="../ctrlProps/ctrlProp33.xml"/><Relationship Id="rId1" Type="http://schemas.openxmlformats.org/officeDocument/2006/relationships/drawing" Target="../drawings/drawing3.xml"/><Relationship Id="rId6" Type="http://schemas.openxmlformats.org/officeDocument/2006/relationships/ctrlProp" Target="../ctrlProps/ctrlProp10.xml"/><Relationship Id="rId11" Type="http://schemas.openxmlformats.org/officeDocument/2006/relationships/ctrlProp" Target="../ctrlProps/ctrlProp15.xml"/><Relationship Id="rId24" Type="http://schemas.openxmlformats.org/officeDocument/2006/relationships/ctrlProp" Target="../ctrlProps/ctrlProp28.xml"/><Relationship Id="rId32" Type="http://schemas.openxmlformats.org/officeDocument/2006/relationships/ctrlProp" Target="../ctrlProps/ctrlProp36.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10" Type="http://schemas.openxmlformats.org/officeDocument/2006/relationships/ctrlProp" Target="../ctrlProps/ctrlProp14.xml"/><Relationship Id="rId19" Type="http://schemas.openxmlformats.org/officeDocument/2006/relationships/ctrlProp" Target="../ctrlProps/ctrlProp23.xml"/><Relationship Id="rId31" Type="http://schemas.openxmlformats.org/officeDocument/2006/relationships/ctrlProp" Target="../ctrlProps/ctrlProp35.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ctrlProp" Target="../ctrlProps/ctrlProp31.xml"/><Relationship Id="rId30" Type="http://schemas.openxmlformats.org/officeDocument/2006/relationships/ctrlProp" Target="../ctrlProps/ctrlProp34.xml"/><Relationship Id="rId35" Type="http://schemas.openxmlformats.org/officeDocument/2006/relationships/ctrlProp" Target="../ctrlProps/ctrlProp39.xml"/><Relationship Id="rId8"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17D3-8B82-43E0-8ABB-ACF9A45725DA}">
  <sheetPr codeName="Sheet1"/>
  <dimension ref="A2:K24"/>
  <sheetViews>
    <sheetView tabSelected="1" workbookViewId="0">
      <selection activeCell="P6" sqref="P6"/>
    </sheetView>
  </sheetViews>
  <sheetFormatPr defaultRowHeight="14.4" x14ac:dyDescent="0.3"/>
  <cols>
    <col min="2" max="2" width="16.88671875" customWidth="1"/>
    <col min="9" max="9" width="11.109375" customWidth="1"/>
    <col min="10" max="10" width="13.44140625" customWidth="1"/>
    <col min="11" max="11" width="15" customWidth="1"/>
  </cols>
  <sheetData>
    <row r="2" spans="1:11" x14ac:dyDescent="0.3">
      <c r="A2" s="103" t="s">
        <v>181</v>
      </c>
      <c r="B2" s="104" t="s">
        <v>182</v>
      </c>
      <c r="C2" s="164" t="s">
        <v>186</v>
      </c>
      <c r="D2" s="164"/>
      <c r="E2" s="164"/>
      <c r="F2" s="104" t="s">
        <v>183</v>
      </c>
      <c r="G2" s="104">
        <v>240</v>
      </c>
      <c r="H2" s="104" t="s">
        <v>0</v>
      </c>
      <c r="I2" s="105"/>
    </row>
    <row r="3" spans="1:11" x14ac:dyDescent="0.3">
      <c r="A3" s="106" t="s">
        <v>187</v>
      </c>
      <c r="B3" s="107"/>
      <c r="C3" s="108"/>
      <c r="D3" s="108"/>
      <c r="E3" s="108"/>
      <c r="F3" s="107"/>
      <c r="G3" s="107"/>
      <c r="H3" s="107"/>
      <c r="I3" s="109"/>
      <c r="J3" s="40"/>
    </row>
    <row r="4" spans="1:11" x14ac:dyDescent="0.3">
      <c r="A4" s="106" t="s">
        <v>184</v>
      </c>
      <c r="B4" s="107"/>
      <c r="C4" s="108"/>
      <c r="D4" s="108"/>
      <c r="E4" s="108"/>
      <c r="F4" s="107"/>
      <c r="G4" s="107"/>
      <c r="H4" s="107"/>
      <c r="I4" s="109"/>
    </row>
    <row r="5" spans="1:11" x14ac:dyDescent="0.3">
      <c r="A5" s="110" t="s">
        <v>185</v>
      </c>
      <c r="B5" s="111"/>
      <c r="C5" s="112"/>
      <c r="D5" s="112"/>
      <c r="E5" s="112"/>
      <c r="F5" s="111"/>
      <c r="G5" s="111"/>
      <c r="H5" s="111"/>
      <c r="I5" s="113"/>
    </row>
    <row r="6" spans="1:11" ht="15" thickBot="1" x14ac:dyDescent="0.35"/>
    <row r="7" spans="1:11" ht="15.6" x14ac:dyDescent="0.3">
      <c r="B7" s="148"/>
      <c r="C7" s="165" t="s">
        <v>188</v>
      </c>
      <c r="D7" s="165"/>
      <c r="E7" s="165"/>
      <c r="F7" s="166" t="s">
        <v>189</v>
      </c>
      <c r="G7" s="166"/>
      <c r="H7" s="166"/>
      <c r="I7" s="166"/>
      <c r="J7" s="166"/>
      <c r="K7" s="167"/>
    </row>
    <row r="8" spans="1:11" ht="15.75" customHeight="1" x14ac:dyDescent="0.3">
      <c r="B8" s="154" t="s">
        <v>266</v>
      </c>
      <c r="C8" s="170" t="s">
        <v>207</v>
      </c>
      <c r="D8" s="171"/>
      <c r="E8" s="171"/>
      <c r="F8" s="168" t="s">
        <v>264</v>
      </c>
      <c r="G8" s="168"/>
      <c r="H8" s="168"/>
      <c r="I8" s="168"/>
      <c r="J8" s="168"/>
      <c r="K8" s="169"/>
    </row>
    <row r="9" spans="1:11" ht="15.75" customHeight="1" x14ac:dyDescent="0.3">
      <c r="B9" s="154"/>
      <c r="C9" s="170"/>
      <c r="D9" s="171"/>
      <c r="E9" s="171"/>
      <c r="F9" s="168"/>
      <c r="G9" s="168"/>
      <c r="H9" s="168"/>
      <c r="I9" s="168"/>
      <c r="J9" s="168"/>
      <c r="K9" s="169"/>
    </row>
    <row r="10" spans="1:11" ht="15.75" customHeight="1" x14ac:dyDescent="0.3">
      <c r="B10" s="154"/>
      <c r="C10" s="170"/>
      <c r="D10" s="171"/>
      <c r="E10" s="171"/>
      <c r="F10" s="168"/>
      <c r="G10" s="168"/>
      <c r="H10" s="168"/>
      <c r="I10" s="168"/>
      <c r="J10" s="168"/>
      <c r="K10" s="169"/>
    </row>
    <row r="11" spans="1:11" ht="15.75" customHeight="1" x14ac:dyDescent="0.3">
      <c r="B11" s="154"/>
      <c r="C11" s="170"/>
      <c r="D11" s="171"/>
      <c r="E11" s="171"/>
      <c r="F11" s="168"/>
      <c r="G11" s="168"/>
      <c r="H11" s="168"/>
      <c r="I11" s="168"/>
      <c r="J11" s="168"/>
      <c r="K11" s="169"/>
    </row>
    <row r="12" spans="1:11" x14ac:dyDescent="0.3">
      <c r="B12" s="154"/>
      <c r="C12" s="172" t="s">
        <v>1</v>
      </c>
      <c r="D12" s="173"/>
      <c r="E12" s="173"/>
      <c r="F12" s="168" t="s">
        <v>190</v>
      </c>
      <c r="G12" s="168"/>
      <c r="H12" s="168"/>
      <c r="I12" s="168"/>
      <c r="J12" s="168"/>
      <c r="K12" s="169"/>
    </row>
    <row r="13" spans="1:11" ht="15.75" customHeight="1" x14ac:dyDescent="0.3">
      <c r="B13" s="154"/>
      <c r="C13" s="172"/>
      <c r="D13" s="173"/>
      <c r="E13" s="173"/>
      <c r="F13" s="168"/>
      <c r="G13" s="168"/>
      <c r="H13" s="168"/>
      <c r="I13" s="168"/>
      <c r="J13" s="168"/>
      <c r="K13" s="169"/>
    </row>
    <row r="14" spans="1:11" x14ac:dyDescent="0.3">
      <c r="B14" s="154"/>
      <c r="C14" s="174" t="s">
        <v>191</v>
      </c>
      <c r="D14" s="175"/>
      <c r="E14" s="175"/>
      <c r="F14" s="168" t="s">
        <v>192</v>
      </c>
      <c r="G14" s="168"/>
      <c r="H14" s="168"/>
      <c r="I14" s="168"/>
      <c r="J14" s="168"/>
      <c r="K14" s="169"/>
    </row>
    <row r="15" spans="1:11" ht="15.75" customHeight="1" x14ac:dyDescent="0.3">
      <c r="B15" s="154"/>
      <c r="C15" s="174"/>
      <c r="D15" s="175"/>
      <c r="E15" s="175"/>
      <c r="F15" s="168"/>
      <c r="G15" s="168"/>
      <c r="H15" s="168"/>
      <c r="I15" s="168"/>
      <c r="J15" s="168"/>
      <c r="K15" s="169"/>
    </row>
    <row r="16" spans="1:11" ht="15.75" customHeight="1" x14ac:dyDescent="0.3">
      <c r="B16" s="154"/>
      <c r="C16" s="174" t="s">
        <v>193</v>
      </c>
      <c r="D16" s="175"/>
      <c r="E16" s="175"/>
      <c r="F16" s="168" t="s">
        <v>194</v>
      </c>
      <c r="G16" s="168"/>
      <c r="H16" s="168"/>
      <c r="I16" s="168"/>
      <c r="J16" s="168"/>
      <c r="K16" s="169"/>
    </row>
    <row r="17" spans="2:11" ht="15.75" customHeight="1" x14ac:dyDescent="0.3">
      <c r="B17" s="154"/>
      <c r="C17" s="174"/>
      <c r="D17" s="175"/>
      <c r="E17" s="175"/>
      <c r="F17" s="168"/>
      <c r="G17" s="168"/>
      <c r="H17" s="168"/>
      <c r="I17" s="168"/>
      <c r="J17" s="168"/>
      <c r="K17" s="169"/>
    </row>
    <row r="18" spans="2:11" ht="15.75" customHeight="1" x14ac:dyDescent="0.3">
      <c r="B18" s="154"/>
      <c r="C18" s="174"/>
      <c r="D18" s="175"/>
      <c r="E18" s="175"/>
      <c r="F18" s="168"/>
      <c r="G18" s="168"/>
      <c r="H18" s="168"/>
      <c r="I18" s="168"/>
      <c r="J18" s="168"/>
      <c r="K18" s="169"/>
    </row>
    <row r="19" spans="2:11" ht="15.75" customHeight="1" x14ac:dyDescent="0.3">
      <c r="B19" s="154"/>
      <c r="C19" s="174" t="s">
        <v>195</v>
      </c>
      <c r="D19" s="175"/>
      <c r="E19" s="175"/>
      <c r="F19" s="168" t="s">
        <v>196</v>
      </c>
      <c r="G19" s="168"/>
      <c r="H19" s="168"/>
      <c r="I19" s="168"/>
      <c r="J19" s="168"/>
      <c r="K19" s="169"/>
    </row>
    <row r="20" spans="2:11" x14ac:dyDescent="0.3">
      <c r="B20" s="154"/>
      <c r="C20" s="174"/>
      <c r="D20" s="175"/>
      <c r="E20" s="175"/>
      <c r="F20" s="168"/>
      <c r="G20" s="168"/>
      <c r="H20" s="168"/>
      <c r="I20" s="168"/>
      <c r="J20" s="168"/>
      <c r="K20" s="169"/>
    </row>
    <row r="21" spans="2:11" ht="19.5" customHeight="1" x14ac:dyDescent="0.3">
      <c r="B21" s="154"/>
      <c r="C21" s="155" t="s">
        <v>250</v>
      </c>
      <c r="D21" s="155"/>
      <c r="E21" s="155"/>
      <c r="F21" s="158" t="s">
        <v>265</v>
      </c>
      <c r="G21" s="158"/>
      <c r="H21" s="158"/>
      <c r="I21" s="158"/>
      <c r="J21" s="158"/>
      <c r="K21" s="159"/>
    </row>
    <row r="22" spans="2:11" ht="15.75" customHeight="1" x14ac:dyDescent="0.3">
      <c r="B22" s="154"/>
      <c r="C22" s="156"/>
      <c r="D22" s="156"/>
      <c r="E22" s="156"/>
      <c r="F22" s="160"/>
      <c r="G22" s="160"/>
      <c r="H22" s="160"/>
      <c r="I22" s="160"/>
      <c r="J22" s="160"/>
      <c r="K22" s="161"/>
    </row>
    <row r="23" spans="2:11" ht="15" customHeight="1" x14ac:dyDescent="0.3">
      <c r="B23" s="154"/>
      <c r="C23" s="156"/>
      <c r="D23" s="156"/>
      <c r="E23" s="156"/>
      <c r="F23" s="160"/>
      <c r="G23" s="160"/>
      <c r="H23" s="160"/>
      <c r="I23" s="160"/>
      <c r="J23" s="160"/>
      <c r="K23" s="161"/>
    </row>
    <row r="24" spans="2:11" ht="15" customHeight="1" thickBot="1" x14ac:dyDescent="0.35">
      <c r="B24" s="149"/>
      <c r="C24" s="157"/>
      <c r="D24" s="157"/>
      <c r="E24" s="157"/>
      <c r="F24" s="162"/>
      <c r="G24" s="162"/>
      <c r="H24" s="162"/>
      <c r="I24" s="162"/>
      <c r="J24" s="162"/>
      <c r="K24" s="163"/>
    </row>
  </sheetData>
  <mergeCells count="16">
    <mergeCell ref="B8:B23"/>
    <mergeCell ref="C21:E24"/>
    <mergeCell ref="F21:K24"/>
    <mergeCell ref="C2:E2"/>
    <mergeCell ref="C7:E7"/>
    <mergeCell ref="F7:K7"/>
    <mergeCell ref="F12:K13"/>
    <mergeCell ref="F8:K11"/>
    <mergeCell ref="C8:E11"/>
    <mergeCell ref="C12:E13"/>
    <mergeCell ref="F14:K15"/>
    <mergeCell ref="C14:E15"/>
    <mergeCell ref="C16:E18"/>
    <mergeCell ref="F16:K18"/>
    <mergeCell ref="F19:K20"/>
    <mergeCell ref="C19:E20"/>
  </mergeCells>
  <hyperlinks>
    <hyperlink ref="C8:E11" location="'Input Sheet'!A1" display="Input Sheet" xr:uid="{EC8F1917-9CF5-475F-A113-1311D51FE919}"/>
    <hyperlink ref="C12:E13" location="'Cost Requirement'!A1" display="Capital Cost" xr:uid="{DEBF05FA-BEF6-469E-AA38-73D0DF5A5EFA}"/>
    <hyperlink ref="C14:E15" location="'Basic Tariff Model'!A1" display="Basic Tariff Model" xr:uid="{186A1705-C744-437D-BD8D-C37BE672C2BF}"/>
    <hyperlink ref="C16:E18" location="Output!A1" display="Output" xr:uid="{944F8BB6-501B-45F2-AD2F-92ABFB6B1BA9}"/>
    <hyperlink ref="C19:E20" location="Financial!A1" display="Financial" xr:uid="{5468B4CC-4442-4C01-A863-36425C4F5129}"/>
    <hyperlink ref="C21:E24" location="'State-wise Tariff'!A1" display="State-Wise Tariff" xr:uid="{CEF88A90-70D7-4D80-A22E-2177DEE2075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Default">
                <anchor moveWithCells="1" sizeWithCells="1">
                  <from>
                    <xdr:col>9</xdr:col>
                    <xdr:colOff>99060</xdr:colOff>
                    <xdr:row>3</xdr:row>
                    <xdr:rowOff>22860</xdr:rowOff>
                  </from>
                  <to>
                    <xdr:col>9</xdr:col>
                    <xdr:colOff>784860</xdr:colOff>
                    <xdr:row>3</xdr:row>
                    <xdr:rowOff>175260</xdr:rowOff>
                  </to>
                </anchor>
              </controlPr>
            </control>
          </mc:Choice>
        </mc:AlternateContent>
        <mc:AlternateContent xmlns:mc="http://schemas.openxmlformats.org/markup-compatibility/2006">
          <mc:Choice Requires="x14">
            <control shapeId="6147" r:id="rId5" name="Button 3">
              <controlPr defaultSize="0" print="0" autoFill="0" autoPict="0" macro="[0]!Default_ST">
                <anchor moveWithCells="1" sizeWithCells="1">
                  <from>
                    <xdr:col>9</xdr:col>
                    <xdr:colOff>99060</xdr:colOff>
                    <xdr:row>4</xdr:row>
                    <xdr:rowOff>38100</xdr:rowOff>
                  </from>
                  <to>
                    <xdr:col>9</xdr:col>
                    <xdr:colOff>784860</xdr:colOff>
                    <xdr:row>4</xdr:row>
                    <xdr:rowOff>182880</xdr:rowOff>
                  </to>
                </anchor>
              </controlPr>
            </control>
          </mc:Choice>
        </mc:AlternateContent>
        <mc:AlternateContent xmlns:mc="http://schemas.openxmlformats.org/markup-compatibility/2006">
          <mc:Choice Requires="x14">
            <control shapeId="6148" r:id="rId6" name="Button 4">
              <controlPr defaultSize="0" print="0" autoFill="0" autoPict="0" macro="[0]!Check">
                <anchor moveWithCells="1" sizeWithCells="1">
                  <from>
                    <xdr:col>9</xdr:col>
                    <xdr:colOff>106680</xdr:colOff>
                    <xdr:row>2</xdr:row>
                    <xdr:rowOff>22860</xdr:rowOff>
                  </from>
                  <to>
                    <xdr:col>9</xdr:col>
                    <xdr:colOff>609600</xdr:colOff>
                    <xdr:row>2</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BFFFC-8C4B-4888-A485-8FA28B7F93A4}">
  <sheetPr codeName="Sheet2"/>
  <dimension ref="A1:AQ40"/>
  <sheetViews>
    <sheetView zoomScale="96" zoomScaleNormal="96" workbookViewId="0">
      <pane xSplit="2" ySplit="2" topLeftCell="C7" activePane="bottomRight" state="frozen"/>
      <selection pane="topRight" activeCell="C1" sqref="C1"/>
      <selection pane="bottomLeft" activeCell="A3" sqref="A3"/>
      <selection pane="bottomRight" activeCell="P12" sqref="P12"/>
    </sheetView>
  </sheetViews>
  <sheetFormatPr defaultRowHeight="14.4" x14ac:dyDescent="0.3"/>
  <cols>
    <col min="2" max="2" width="27" bestFit="1" customWidth="1"/>
    <col min="3" max="3" width="12.109375" bestFit="1" customWidth="1"/>
    <col min="4" max="4" width="9.88671875" customWidth="1"/>
    <col min="13" max="13" width="9.44140625" customWidth="1"/>
    <col min="14" max="14" width="9.6640625" bestFit="1" customWidth="1"/>
    <col min="17" max="17" width="12.109375" customWidth="1"/>
    <col min="19" max="19" width="10.5546875" bestFit="1" customWidth="1"/>
    <col min="28" max="28" width="11" customWidth="1"/>
    <col min="31" max="31" width="9.5546875" customWidth="1"/>
  </cols>
  <sheetData>
    <row r="1" spans="1:43" ht="15" customHeight="1" x14ac:dyDescent="0.3">
      <c r="A1" s="74"/>
      <c r="B1" s="179" t="s">
        <v>213</v>
      </c>
      <c r="C1" s="140" t="s">
        <v>214</v>
      </c>
      <c r="D1" s="177" t="s">
        <v>215</v>
      </c>
      <c r="E1" s="140" t="s">
        <v>216</v>
      </c>
      <c r="F1" s="140" t="s">
        <v>217</v>
      </c>
      <c r="G1" s="177" t="s">
        <v>218</v>
      </c>
      <c r="H1" s="140" t="s">
        <v>219</v>
      </c>
      <c r="I1" s="140" t="s">
        <v>220</v>
      </c>
      <c r="J1" s="140" t="s">
        <v>221</v>
      </c>
      <c r="K1" s="177" t="s">
        <v>222</v>
      </c>
      <c r="L1" s="140" t="s">
        <v>223</v>
      </c>
      <c r="M1" s="140" t="s">
        <v>224</v>
      </c>
      <c r="N1" s="140" t="s">
        <v>225</v>
      </c>
      <c r="O1" s="140" t="s">
        <v>226</v>
      </c>
      <c r="P1" s="177" t="s">
        <v>227</v>
      </c>
      <c r="Q1" s="141" t="s">
        <v>255</v>
      </c>
      <c r="R1" s="140" t="s">
        <v>228</v>
      </c>
      <c r="S1" s="140" t="s">
        <v>229</v>
      </c>
      <c r="T1" s="140" t="s">
        <v>230</v>
      </c>
      <c r="U1" s="140" t="s">
        <v>231</v>
      </c>
      <c r="V1" s="140" t="s">
        <v>232</v>
      </c>
      <c r="W1" s="140" t="s">
        <v>233</v>
      </c>
      <c r="X1" s="140" t="s">
        <v>234</v>
      </c>
      <c r="Y1" s="177" t="s">
        <v>235</v>
      </c>
      <c r="Z1" s="140" t="s">
        <v>236</v>
      </c>
      <c r="AA1" s="177" t="s">
        <v>237</v>
      </c>
      <c r="AB1" s="141" t="s">
        <v>238</v>
      </c>
      <c r="AC1" s="177" t="s">
        <v>239</v>
      </c>
      <c r="AD1" s="177" t="s">
        <v>240</v>
      </c>
      <c r="AE1" s="140" t="s">
        <v>241</v>
      </c>
    </row>
    <row r="2" spans="1:43" x14ac:dyDescent="0.3">
      <c r="A2" s="74"/>
      <c r="B2" s="179"/>
      <c r="C2" s="140"/>
      <c r="D2" s="177"/>
      <c r="E2" s="140"/>
      <c r="F2" s="140"/>
      <c r="G2" s="177"/>
      <c r="H2" s="140"/>
      <c r="I2" s="140"/>
      <c r="J2" s="140"/>
      <c r="K2" s="177"/>
      <c r="L2" s="140"/>
      <c r="M2" s="140"/>
      <c r="N2" s="140"/>
      <c r="O2" s="140"/>
      <c r="P2" s="177"/>
      <c r="Q2" s="141"/>
      <c r="R2" s="140"/>
      <c r="S2" s="140"/>
      <c r="T2" s="140"/>
      <c r="U2" s="140"/>
      <c r="V2" s="140"/>
      <c r="W2" s="140"/>
      <c r="X2" s="140"/>
      <c r="Y2" s="177"/>
      <c r="Z2" s="140"/>
      <c r="AA2" s="177"/>
      <c r="AB2" s="141"/>
      <c r="AC2" s="177"/>
      <c r="AD2" s="177"/>
      <c r="AE2" s="140"/>
    </row>
    <row r="3" spans="1:43" x14ac:dyDescent="0.3">
      <c r="A3" s="74"/>
      <c r="B3" s="60" t="s">
        <v>164</v>
      </c>
      <c r="C3" s="122">
        <f>'Cost Requirement'!$C$3</f>
        <v>0.7</v>
      </c>
      <c r="D3" s="122">
        <f>'Cost Requirement'!$C$3</f>
        <v>0.7</v>
      </c>
      <c r="E3" s="122">
        <f>'Cost Requirement'!$C$3</f>
        <v>0.7</v>
      </c>
      <c r="F3" s="122">
        <f>'Cost Requirement'!$C$3</f>
        <v>0.7</v>
      </c>
      <c r="G3" s="122">
        <f>'Cost Requirement'!$C$3</f>
        <v>0.7</v>
      </c>
      <c r="H3" s="122">
        <f>'Cost Requirement'!$C$3</f>
        <v>0.7</v>
      </c>
      <c r="I3" s="122">
        <f>'Cost Requirement'!$C$3</f>
        <v>0.7</v>
      </c>
      <c r="J3" s="122">
        <f>'Cost Requirement'!$C$3</f>
        <v>0.7</v>
      </c>
      <c r="K3" s="122">
        <f>'Cost Requirement'!$C$3</f>
        <v>0.7</v>
      </c>
      <c r="L3" s="122">
        <f>'Cost Requirement'!$C$3</f>
        <v>0.7</v>
      </c>
      <c r="M3" s="122">
        <f>'Cost Requirement'!$C$3</f>
        <v>0.7</v>
      </c>
      <c r="N3" s="122">
        <f>'Cost Requirement'!$C$3</f>
        <v>0.7</v>
      </c>
      <c r="O3" s="122">
        <f>'Cost Requirement'!$C$3</f>
        <v>0.7</v>
      </c>
      <c r="P3" s="122">
        <f>'Cost Requirement'!$C$3</f>
        <v>0.7</v>
      </c>
      <c r="Q3" s="178" t="s">
        <v>252</v>
      </c>
      <c r="R3" s="122">
        <f>'Cost Requirement'!$C$3</f>
        <v>0.7</v>
      </c>
      <c r="S3" s="122">
        <f>'Cost Requirement'!$C$3</f>
        <v>0.7</v>
      </c>
      <c r="T3" s="122">
        <f>'Cost Requirement'!$C$3</f>
        <v>0.7</v>
      </c>
      <c r="U3" s="122">
        <f>'Cost Requirement'!$C$3</f>
        <v>0.7</v>
      </c>
      <c r="V3" s="122">
        <f>'Cost Requirement'!$C$3</f>
        <v>0.7</v>
      </c>
      <c r="W3" s="122">
        <f>'Cost Requirement'!$C$3</f>
        <v>0.7</v>
      </c>
      <c r="X3" s="122">
        <f>'Cost Requirement'!$C$3</f>
        <v>0.7</v>
      </c>
      <c r="Y3" s="122">
        <f>'Cost Requirement'!$C$3</f>
        <v>0.7</v>
      </c>
      <c r="Z3" s="122">
        <f>'Cost Requirement'!$C$3</f>
        <v>0.7</v>
      </c>
      <c r="AA3" s="122">
        <f>'Cost Requirement'!$C$3</f>
        <v>0.7</v>
      </c>
      <c r="AB3" s="122">
        <f>'Cost Requirement'!$C$3</f>
        <v>0.7</v>
      </c>
      <c r="AC3" s="123"/>
      <c r="AD3" s="123"/>
      <c r="AE3" s="123"/>
    </row>
    <row r="4" spans="1:43" x14ac:dyDescent="0.3">
      <c r="A4" s="74"/>
      <c r="B4" s="60" t="s">
        <v>165</v>
      </c>
      <c r="C4" s="122">
        <v>7.1999999999999995E-2</v>
      </c>
      <c r="D4" s="122">
        <f>C4</f>
        <v>7.1999999999999995E-2</v>
      </c>
      <c r="E4" s="122">
        <f>C4</f>
        <v>7.1999999999999995E-2</v>
      </c>
      <c r="F4" s="122">
        <f>0.072</f>
        <v>7.1999999999999995E-2</v>
      </c>
      <c r="G4" s="122">
        <f>C4</f>
        <v>7.1999999999999995E-2</v>
      </c>
      <c r="H4" s="122">
        <v>7.1999999999999995E-2</v>
      </c>
      <c r="I4" s="122">
        <v>0.127</v>
      </c>
      <c r="J4" s="122">
        <f>0.072</f>
        <v>7.1999999999999995E-2</v>
      </c>
      <c r="K4" s="122">
        <v>0.1053</v>
      </c>
      <c r="L4" s="122">
        <f>0.072</f>
        <v>7.1999999999999995E-2</v>
      </c>
      <c r="M4" s="122">
        <f>0.072</f>
        <v>7.1999999999999995E-2</v>
      </c>
      <c r="N4" s="122">
        <f>0.072</f>
        <v>7.1999999999999995E-2</v>
      </c>
      <c r="O4" s="122">
        <v>0.12759999999999999</v>
      </c>
      <c r="P4" s="122">
        <f>C4</f>
        <v>7.1999999999999995E-2</v>
      </c>
      <c r="Q4" s="178"/>
      <c r="R4" s="122">
        <v>0.1183</v>
      </c>
      <c r="S4" s="122">
        <v>7.1999999999999995E-2</v>
      </c>
      <c r="T4" s="122">
        <v>7.1999999999999995E-2</v>
      </c>
      <c r="U4" s="122">
        <v>7.1999999999999995E-2</v>
      </c>
      <c r="V4" s="122">
        <f>C4</f>
        <v>7.1999999999999995E-2</v>
      </c>
      <c r="W4" s="122">
        <v>7.1999999999999995E-2</v>
      </c>
      <c r="X4" s="122">
        <v>7.1999999999999995E-2</v>
      </c>
      <c r="Y4" s="122">
        <v>0.11550000000000001</v>
      </c>
      <c r="Z4" s="122">
        <v>7.1999999999999995E-2</v>
      </c>
      <c r="AA4" s="122">
        <v>7.1999999999999995E-2</v>
      </c>
      <c r="AB4" s="122">
        <v>7.1999999999999995E-2</v>
      </c>
      <c r="AC4" s="123"/>
      <c r="AD4" s="123"/>
      <c r="AE4" s="123"/>
    </row>
    <row r="5" spans="1:43" ht="15" customHeight="1" x14ac:dyDescent="0.3">
      <c r="A5" s="74"/>
      <c r="B5" s="60" t="s">
        <v>139</v>
      </c>
      <c r="C5" s="122">
        <v>0.1166</v>
      </c>
      <c r="D5" s="122">
        <f>C5</f>
        <v>0.1166</v>
      </c>
      <c r="E5" s="122">
        <f>C5</f>
        <v>0.1166</v>
      </c>
      <c r="F5" s="122">
        <f>0.1166</f>
        <v>0.1166</v>
      </c>
      <c r="G5" s="122">
        <f>C5</f>
        <v>0.1166</v>
      </c>
      <c r="H5" s="122">
        <f>0.1166</f>
        <v>0.1166</v>
      </c>
      <c r="I5" s="122">
        <v>0.11849999999999999</v>
      </c>
      <c r="J5" s="122">
        <f>0.1166</f>
        <v>0.1166</v>
      </c>
      <c r="K5" s="122">
        <v>0.1153</v>
      </c>
      <c r="L5" s="122">
        <f>0.1166</f>
        <v>0.1166</v>
      </c>
      <c r="M5" s="122">
        <f>0.1166</f>
        <v>0.1166</v>
      </c>
      <c r="N5" s="125">
        <v>0.11</v>
      </c>
      <c r="O5" s="122">
        <v>0.1326</v>
      </c>
      <c r="P5" s="122">
        <f>'Input Sheet'!$D$13</f>
        <v>0.1166</v>
      </c>
      <c r="Q5" s="178"/>
      <c r="R5" s="122">
        <v>0.12330000000000001</v>
      </c>
      <c r="S5" s="122">
        <v>0.1166</v>
      </c>
      <c r="T5" s="122">
        <v>0.1166</v>
      </c>
      <c r="U5" s="122">
        <v>0.1166</v>
      </c>
      <c r="V5" s="122">
        <f>C5</f>
        <v>0.1166</v>
      </c>
      <c r="W5" s="122">
        <v>0.1166</v>
      </c>
      <c r="X5" s="122">
        <v>0.1166</v>
      </c>
      <c r="Y5" s="122">
        <v>0.1095</v>
      </c>
      <c r="Z5" s="122">
        <v>0.1166</v>
      </c>
      <c r="AA5" s="122">
        <v>0.1166</v>
      </c>
      <c r="AB5" s="122">
        <v>0.1166</v>
      </c>
      <c r="AC5" s="123"/>
      <c r="AD5" s="123"/>
      <c r="AE5" s="123"/>
      <c r="AQ5" s="131" t="s">
        <v>251</v>
      </c>
    </row>
    <row r="6" spans="1:43" x14ac:dyDescent="0.3">
      <c r="A6" s="74"/>
      <c r="B6" s="60" t="s">
        <v>166</v>
      </c>
      <c r="C6" s="122">
        <f>'Input Sheet'!D6</f>
        <v>0.1</v>
      </c>
      <c r="D6" s="122">
        <f>C6</f>
        <v>0.1</v>
      </c>
      <c r="E6" s="122">
        <f t="shared" ref="E6:Z6" si="0">D6</f>
        <v>0.1</v>
      </c>
      <c r="F6" s="122">
        <f t="shared" si="0"/>
        <v>0.1</v>
      </c>
      <c r="G6" s="122">
        <f t="shared" si="0"/>
        <v>0.1</v>
      </c>
      <c r="H6" s="122">
        <f t="shared" si="0"/>
        <v>0.1</v>
      </c>
      <c r="I6" s="122">
        <f t="shared" si="0"/>
        <v>0.1</v>
      </c>
      <c r="J6" s="122">
        <f t="shared" si="0"/>
        <v>0.1</v>
      </c>
      <c r="K6" s="122">
        <f t="shared" si="0"/>
        <v>0.1</v>
      </c>
      <c r="L6" s="122">
        <f t="shared" si="0"/>
        <v>0.1</v>
      </c>
      <c r="M6" s="122">
        <f t="shared" si="0"/>
        <v>0.1</v>
      </c>
      <c r="N6" s="122">
        <f t="shared" si="0"/>
        <v>0.1</v>
      </c>
      <c r="O6" s="122">
        <f t="shared" si="0"/>
        <v>0.1</v>
      </c>
      <c r="P6" s="122">
        <f>$O$6</f>
        <v>0.1</v>
      </c>
      <c r="Q6" s="178"/>
      <c r="R6" s="122">
        <f>$O$6</f>
        <v>0.1</v>
      </c>
      <c r="S6" s="122">
        <f t="shared" si="0"/>
        <v>0.1</v>
      </c>
      <c r="T6" s="122">
        <f t="shared" si="0"/>
        <v>0.1</v>
      </c>
      <c r="U6" s="122">
        <f t="shared" si="0"/>
        <v>0.1</v>
      </c>
      <c r="V6" s="122">
        <f t="shared" si="0"/>
        <v>0.1</v>
      </c>
      <c r="W6" s="122">
        <f t="shared" si="0"/>
        <v>0.1</v>
      </c>
      <c r="X6" s="122">
        <f t="shared" si="0"/>
        <v>0.1</v>
      </c>
      <c r="Y6" s="122">
        <f t="shared" si="0"/>
        <v>0.1</v>
      </c>
      <c r="Z6" s="122">
        <f t="shared" si="0"/>
        <v>0.1</v>
      </c>
      <c r="AA6" s="122">
        <f>$O$6</f>
        <v>0.1</v>
      </c>
      <c r="AB6" s="122">
        <f>$O$6</f>
        <v>0.1</v>
      </c>
      <c r="AC6" s="123"/>
      <c r="AD6" s="123"/>
      <c r="AE6" s="123"/>
      <c r="AQ6" s="135" t="s">
        <v>214</v>
      </c>
    </row>
    <row r="7" spans="1:43" ht="15" customHeight="1" x14ac:dyDescent="0.3">
      <c r="A7" s="74"/>
      <c r="B7" s="60" t="s">
        <v>173</v>
      </c>
      <c r="C7" s="122">
        <f>'Input Sheet'!$I$7</f>
        <v>7.0000000000000001E-3</v>
      </c>
      <c r="D7" s="122">
        <f>'Input Sheet'!$I$7</f>
        <v>7.0000000000000001E-3</v>
      </c>
      <c r="E7" s="122">
        <f>'Input Sheet'!$I$7</f>
        <v>7.0000000000000001E-3</v>
      </c>
      <c r="F7" s="122">
        <f>'Input Sheet'!$I$7</f>
        <v>7.0000000000000001E-3</v>
      </c>
      <c r="G7" s="122">
        <f>'Input Sheet'!$I$7</f>
        <v>7.0000000000000001E-3</v>
      </c>
      <c r="H7" s="122">
        <f>'Input Sheet'!$I$7</f>
        <v>7.0000000000000001E-3</v>
      </c>
      <c r="I7" s="122">
        <f>'Input Sheet'!$I$7</f>
        <v>7.0000000000000001E-3</v>
      </c>
      <c r="J7" s="122">
        <f>'Input Sheet'!$I$7</f>
        <v>7.0000000000000001E-3</v>
      </c>
      <c r="K7" s="122">
        <f>'Input Sheet'!$I$7</f>
        <v>7.0000000000000001E-3</v>
      </c>
      <c r="L7" s="122">
        <f>'Input Sheet'!$I$7</f>
        <v>7.0000000000000001E-3</v>
      </c>
      <c r="M7" s="122">
        <f>'Input Sheet'!$I$7</f>
        <v>7.0000000000000001E-3</v>
      </c>
      <c r="N7" s="122">
        <f>'Input Sheet'!$I$7</f>
        <v>7.0000000000000001E-3</v>
      </c>
      <c r="O7" s="122">
        <f>'Input Sheet'!$I$7</f>
        <v>7.0000000000000001E-3</v>
      </c>
      <c r="P7" s="122">
        <f>'Input Sheet'!$I$7</f>
        <v>7.0000000000000001E-3</v>
      </c>
      <c r="Q7" s="178"/>
      <c r="R7" s="122">
        <f>'Input Sheet'!$I$7</f>
        <v>7.0000000000000001E-3</v>
      </c>
      <c r="S7" s="122">
        <f>'Input Sheet'!$I$7</f>
        <v>7.0000000000000001E-3</v>
      </c>
      <c r="T7" s="122">
        <f>'Input Sheet'!$I$7</f>
        <v>7.0000000000000001E-3</v>
      </c>
      <c r="U7" s="122">
        <f>'Input Sheet'!$I$7</f>
        <v>7.0000000000000001E-3</v>
      </c>
      <c r="V7" s="122">
        <f>'Input Sheet'!$I$7</f>
        <v>7.0000000000000001E-3</v>
      </c>
      <c r="W7" s="122">
        <f>'Input Sheet'!$I$7</f>
        <v>7.0000000000000001E-3</v>
      </c>
      <c r="X7" s="122">
        <f>'Input Sheet'!$I$7</f>
        <v>7.0000000000000001E-3</v>
      </c>
      <c r="Y7" s="122">
        <f>'Input Sheet'!$I$7</f>
        <v>7.0000000000000001E-3</v>
      </c>
      <c r="Z7" s="122">
        <f>'Input Sheet'!$I$7</f>
        <v>7.0000000000000001E-3</v>
      </c>
      <c r="AA7" s="122">
        <f>'Input Sheet'!$I$7</f>
        <v>7.0000000000000001E-3</v>
      </c>
      <c r="AB7" s="122">
        <f>'Input Sheet'!$I$7</f>
        <v>7.0000000000000001E-3</v>
      </c>
      <c r="AC7" s="122"/>
      <c r="AD7" s="122"/>
      <c r="AE7" s="122"/>
      <c r="AQ7" s="136" t="s">
        <v>215</v>
      </c>
    </row>
    <row r="8" spans="1:43" x14ac:dyDescent="0.3">
      <c r="A8" s="74"/>
      <c r="B8" s="60" t="s">
        <v>34</v>
      </c>
      <c r="C8" s="122">
        <v>0.14000000000000001</v>
      </c>
      <c r="D8" s="122">
        <f>C8</f>
        <v>0.14000000000000001</v>
      </c>
      <c r="E8" s="122">
        <f t="shared" ref="E8:G8" si="1">D8</f>
        <v>0.14000000000000001</v>
      </c>
      <c r="F8" s="122">
        <f t="shared" si="1"/>
        <v>0.14000000000000001</v>
      </c>
      <c r="G8" s="122">
        <f t="shared" si="1"/>
        <v>0.14000000000000001</v>
      </c>
      <c r="H8" s="122" t="s">
        <v>243</v>
      </c>
      <c r="I8" s="125">
        <v>0.14000000000000001</v>
      </c>
      <c r="J8" s="125">
        <v>0.14000000000000001</v>
      </c>
      <c r="K8" s="125">
        <v>0.17</v>
      </c>
      <c r="L8" s="122" t="s">
        <v>243</v>
      </c>
      <c r="M8" s="122" t="s">
        <v>243</v>
      </c>
      <c r="N8" s="125">
        <v>0.14000000000000001</v>
      </c>
      <c r="O8" s="122" t="s">
        <v>243</v>
      </c>
      <c r="P8" s="125">
        <v>0.2</v>
      </c>
      <c r="Q8" s="178"/>
      <c r="R8" s="123"/>
      <c r="S8" s="125">
        <v>0.16</v>
      </c>
      <c r="T8" s="122" t="s">
        <v>243</v>
      </c>
      <c r="U8" s="122" t="s">
        <v>243</v>
      </c>
      <c r="V8" s="125">
        <v>0.14000000000000001</v>
      </c>
      <c r="W8" s="125">
        <v>0.14000000000000001</v>
      </c>
      <c r="X8" s="122" t="s">
        <v>243</v>
      </c>
      <c r="Y8" s="122">
        <v>0.17599999999999999</v>
      </c>
      <c r="Z8" s="122" t="s">
        <v>243</v>
      </c>
      <c r="AA8" s="125">
        <v>0.16</v>
      </c>
      <c r="AB8" s="122" t="s">
        <v>243</v>
      </c>
      <c r="AC8" s="176" t="s">
        <v>253</v>
      </c>
      <c r="AD8" s="176" t="s">
        <v>254</v>
      </c>
      <c r="AE8" s="176" t="s">
        <v>254</v>
      </c>
      <c r="AQ8" s="135" t="s">
        <v>216</v>
      </c>
    </row>
    <row r="9" spans="1:43" x14ac:dyDescent="0.3">
      <c r="A9" s="74"/>
      <c r="B9" s="129" t="s">
        <v>244</v>
      </c>
      <c r="C9" s="122" t="s">
        <v>243</v>
      </c>
      <c r="D9" s="122" t="s">
        <v>243</v>
      </c>
      <c r="E9" s="122" t="s">
        <v>243</v>
      </c>
      <c r="F9" s="122" t="s">
        <v>243</v>
      </c>
      <c r="G9" s="122" t="s">
        <v>243</v>
      </c>
      <c r="H9" s="122">
        <v>0.2</v>
      </c>
      <c r="I9" s="122" t="s">
        <v>243</v>
      </c>
      <c r="J9" s="122" t="s">
        <v>243</v>
      </c>
      <c r="K9" s="122" t="s">
        <v>243</v>
      </c>
      <c r="L9" s="125">
        <v>0.18</v>
      </c>
      <c r="M9" s="125">
        <v>0.2</v>
      </c>
      <c r="N9" s="122" t="s">
        <v>243</v>
      </c>
      <c r="O9" s="125">
        <v>0.2</v>
      </c>
      <c r="P9" s="122" t="s">
        <v>243</v>
      </c>
      <c r="Q9" s="178"/>
      <c r="R9" s="125">
        <v>0.2</v>
      </c>
      <c r="S9" s="122" t="s">
        <v>243</v>
      </c>
      <c r="T9" s="125">
        <v>0.2</v>
      </c>
      <c r="U9" s="125">
        <v>0.19</v>
      </c>
      <c r="V9" s="122" t="s">
        <v>243</v>
      </c>
      <c r="W9" s="122" t="s">
        <v>243</v>
      </c>
      <c r="X9" s="125">
        <v>0.2</v>
      </c>
      <c r="Y9" s="122" t="s">
        <v>243</v>
      </c>
      <c r="Z9" s="125">
        <v>0.2</v>
      </c>
      <c r="AA9" s="122" t="s">
        <v>243</v>
      </c>
      <c r="AB9" s="125">
        <v>0.2</v>
      </c>
      <c r="AC9" s="176"/>
      <c r="AD9" s="176"/>
      <c r="AE9" s="176"/>
      <c r="AQ9" s="135" t="s">
        <v>217</v>
      </c>
    </row>
    <row r="10" spans="1:43" ht="15" customHeight="1" x14ac:dyDescent="0.3">
      <c r="A10" s="74"/>
      <c r="B10" s="129" t="s">
        <v>245</v>
      </c>
      <c r="C10" s="122" t="s">
        <v>243</v>
      </c>
      <c r="D10" s="122" t="s">
        <v>243</v>
      </c>
      <c r="E10" s="122" t="s">
        <v>243</v>
      </c>
      <c r="F10" s="122" t="s">
        <v>243</v>
      </c>
      <c r="G10" s="122" t="s">
        <v>243</v>
      </c>
      <c r="H10" s="122">
        <v>0.24</v>
      </c>
      <c r="I10" s="122" t="s">
        <v>243</v>
      </c>
      <c r="J10" s="122" t="s">
        <v>243</v>
      </c>
      <c r="K10" s="122" t="s">
        <v>243</v>
      </c>
      <c r="L10" s="125">
        <v>0.22</v>
      </c>
      <c r="M10" s="125">
        <v>0.24</v>
      </c>
      <c r="N10" s="122" t="s">
        <v>243</v>
      </c>
      <c r="O10" s="125">
        <v>0.24</v>
      </c>
      <c r="P10" s="122" t="s">
        <v>243</v>
      </c>
      <c r="Q10" s="178"/>
      <c r="R10" s="125">
        <v>0.24</v>
      </c>
      <c r="S10" s="122" t="s">
        <v>243</v>
      </c>
      <c r="T10" s="125">
        <v>0.24</v>
      </c>
      <c r="U10" s="125">
        <v>0.24</v>
      </c>
      <c r="V10" s="122" t="s">
        <v>243</v>
      </c>
      <c r="W10" s="122" t="s">
        <v>243</v>
      </c>
      <c r="X10" s="125">
        <v>0.24</v>
      </c>
      <c r="Y10" s="122" t="s">
        <v>243</v>
      </c>
      <c r="Z10" s="125">
        <v>0.24</v>
      </c>
      <c r="AA10" s="122" t="s">
        <v>243</v>
      </c>
      <c r="AB10" s="125">
        <v>0.24</v>
      </c>
      <c r="AC10" s="176"/>
      <c r="AD10" s="176"/>
      <c r="AE10" s="176"/>
      <c r="AQ10" s="136" t="s">
        <v>218</v>
      </c>
    </row>
    <row r="11" spans="1:43" x14ac:dyDescent="0.3">
      <c r="A11" s="74"/>
      <c r="B11" s="60" t="s">
        <v>73</v>
      </c>
      <c r="C11" s="127">
        <v>6</v>
      </c>
      <c r="D11" s="127">
        <f>C11</f>
        <v>6</v>
      </c>
      <c r="E11" s="127">
        <f>D11</f>
        <v>6</v>
      </c>
      <c r="F11" s="127">
        <v>7.4</v>
      </c>
      <c r="G11" s="127">
        <v>6</v>
      </c>
      <c r="H11" s="127">
        <v>11</v>
      </c>
      <c r="I11" s="127">
        <v>10.9</v>
      </c>
      <c r="J11" s="127">
        <f>C11</f>
        <v>6</v>
      </c>
      <c r="K11" s="127">
        <v>8.27</v>
      </c>
      <c r="L11" s="127">
        <v>11</v>
      </c>
      <c r="M11" s="127">
        <v>11.88</v>
      </c>
      <c r="N11" s="127">
        <f>C11</f>
        <v>6</v>
      </c>
      <c r="O11" s="127">
        <v>7</v>
      </c>
      <c r="P11" s="127">
        <v>7</v>
      </c>
      <c r="Q11" s="178"/>
      <c r="R11" s="127">
        <f>1537*1000/100000</f>
        <v>15.37</v>
      </c>
      <c r="S11" s="127">
        <v>11</v>
      </c>
      <c r="T11" s="127">
        <v>11</v>
      </c>
      <c r="U11" s="127">
        <v>9</v>
      </c>
      <c r="V11" s="127">
        <f>C11</f>
        <v>6</v>
      </c>
      <c r="W11" s="127">
        <v>12.76</v>
      </c>
      <c r="X11" s="127">
        <v>11</v>
      </c>
      <c r="Y11" s="127">
        <f>1.4%*'Cost Requirement'!G15</f>
        <v>4.4757416666666661</v>
      </c>
      <c r="Z11" s="127">
        <v>13.25</v>
      </c>
      <c r="AA11" s="127">
        <v>12.3</v>
      </c>
      <c r="AB11" s="127">
        <f>C11</f>
        <v>6</v>
      </c>
      <c r="AC11" s="176"/>
      <c r="AD11" s="176"/>
      <c r="AE11" s="176"/>
      <c r="AQ11" s="135" t="s">
        <v>219</v>
      </c>
    </row>
    <row r="12" spans="1:43" x14ac:dyDescent="0.3">
      <c r="A12" s="74"/>
      <c r="B12" s="60" t="s">
        <v>168</v>
      </c>
      <c r="C12" s="122">
        <f>'Input Sheet'!D18</f>
        <v>5.7200000000000001E-2</v>
      </c>
      <c r="D12" s="122">
        <f>'Input Sheet'!E18</f>
        <v>5.7200000000000001E-2</v>
      </c>
      <c r="E12" s="122">
        <f>'Input Sheet'!F18</f>
        <v>5.7200000000000001E-2</v>
      </c>
      <c r="F12" s="122">
        <f>'Input Sheet'!G18</f>
        <v>5.7200000000000001E-2</v>
      </c>
      <c r="G12" s="122">
        <f>'Input Sheet'!H18</f>
        <v>5.7200000000000001E-2</v>
      </c>
      <c r="H12" s="122">
        <f>'Input Sheet'!I18</f>
        <v>5.7200000000000001E-2</v>
      </c>
      <c r="I12" s="122">
        <f>'Input Sheet'!J18</f>
        <v>5.7200000000000001E-2</v>
      </c>
      <c r="J12" s="122">
        <f>'Input Sheet'!K18</f>
        <v>5.7200000000000001E-2</v>
      </c>
      <c r="K12" s="122">
        <f>'Input Sheet'!L18</f>
        <v>5.7200000000000001E-2</v>
      </c>
      <c r="L12" s="122">
        <f>'Input Sheet'!M18</f>
        <v>5.7200000000000001E-2</v>
      </c>
      <c r="M12" s="122">
        <f>'Input Sheet'!N18</f>
        <v>5.7200000000000001E-2</v>
      </c>
      <c r="N12" s="122">
        <f>'Input Sheet'!O18</f>
        <v>5.7200000000000001E-2</v>
      </c>
      <c r="O12" s="122">
        <f>'Input Sheet'!P18</f>
        <v>5.7200000000000001E-2</v>
      </c>
      <c r="P12" s="122">
        <f>'Input Sheet'!Q18</f>
        <v>5.7200000000000001E-2</v>
      </c>
      <c r="Q12" s="178"/>
      <c r="R12" s="122">
        <v>5.7200000000000001E-2</v>
      </c>
      <c r="S12" s="122">
        <v>5.7200000000000001E-2</v>
      </c>
      <c r="T12" s="122">
        <v>5.7200000000000001E-2</v>
      </c>
      <c r="U12" s="122">
        <v>5.7200000000000001E-2</v>
      </c>
      <c r="V12" s="122">
        <v>5.7200000000000001E-2</v>
      </c>
      <c r="W12" s="122">
        <v>5.8500000000000003E-2</v>
      </c>
      <c r="X12" s="122">
        <v>5.7200000000000001E-2</v>
      </c>
      <c r="Y12" s="122">
        <v>5.7200000000000001E-2</v>
      </c>
      <c r="Z12" s="122">
        <v>5.7200000000000001E-2</v>
      </c>
      <c r="AA12" s="122">
        <v>5.7200000000000001E-2</v>
      </c>
      <c r="AB12" s="122">
        <v>5.7200000000000001E-2</v>
      </c>
      <c r="AC12" s="176"/>
      <c r="AD12" s="176"/>
      <c r="AE12" s="176"/>
      <c r="AQ12" s="135" t="s">
        <v>220</v>
      </c>
    </row>
    <row r="13" spans="1:43" x14ac:dyDescent="0.3">
      <c r="A13" s="74"/>
      <c r="B13" s="60" t="s">
        <v>246</v>
      </c>
      <c r="C13" s="122"/>
      <c r="D13" s="122"/>
      <c r="E13" s="122"/>
      <c r="F13" s="122"/>
      <c r="G13" s="122"/>
      <c r="H13" s="122"/>
      <c r="I13" s="123"/>
      <c r="J13" s="123"/>
      <c r="K13" s="123"/>
      <c r="L13" s="123"/>
      <c r="M13" s="123"/>
      <c r="N13" s="123"/>
      <c r="O13" s="123"/>
      <c r="P13" s="123"/>
      <c r="Q13" s="178"/>
      <c r="R13" s="123"/>
      <c r="S13" s="123"/>
      <c r="T13" s="123"/>
      <c r="U13" s="123"/>
      <c r="V13" s="123"/>
      <c r="W13" s="123"/>
      <c r="X13" s="123"/>
      <c r="Y13" s="123"/>
      <c r="Z13" s="123"/>
      <c r="AA13" s="123"/>
      <c r="AB13" s="123"/>
      <c r="AC13" s="176"/>
      <c r="AD13" s="176"/>
      <c r="AE13" s="176"/>
      <c r="AQ13" s="135" t="s">
        <v>221</v>
      </c>
    </row>
    <row r="14" spans="1:43" ht="15" customHeight="1" x14ac:dyDescent="0.3">
      <c r="A14" s="74"/>
      <c r="B14" s="128" t="s">
        <v>247</v>
      </c>
      <c r="C14" s="122">
        <v>5.28E-2</v>
      </c>
      <c r="D14" s="122">
        <f>C14</f>
        <v>5.28E-2</v>
      </c>
      <c r="E14" s="122">
        <f>D14</f>
        <v>5.28E-2</v>
      </c>
      <c r="F14" s="122">
        <v>7.0000000000000007E-2</v>
      </c>
      <c r="G14" s="122">
        <v>5.28E-2</v>
      </c>
      <c r="H14" s="122">
        <v>5.8299999999999998E-2</v>
      </c>
      <c r="I14" s="125">
        <v>0.06</v>
      </c>
      <c r="J14" s="122">
        <v>5.3800000000000001E-2</v>
      </c>
      <c r="K14" s="122">
        <f>C14</f>
        <v>5.28E-2</v>
      </c>
      <c r="L14" s="122">
        <v>5.8299999999999998E-2</v>
      </c>
      <c r="M14" s="122">
        <v>5.8299999999999998E-2</v>
      </c>
      <c r="N14" s="122">
        <v>5.3800000000000001E-2</v>
      </c>
      <c r="O14" s="122">
        <v>5.8299999999999998E-2</v>
      </c>
      <c r="P14" s="125">
        <v>7.0000000000000007E-2</v>
      </c>
      <c r="Q14" s="178"/>
      <c r="R14" s="122">
        <v>5.8299999999999998E-2</v>
      </c>
      <c r="S14" s="122">
        <v>5.8299999999999998E-2</v>
      </c>
      <c r="T14" s="122">
        <v>5.8299999999999998E-2</v>
      </c>
      <c r="U14" s="125">
        <v>7.0000000000000007E-2</v>
      </c>
      <c r="V14" s="122">
        <v>5.28E-2</v>
      </c>
      <c r="W14" s="122">
        <v>5.28E-2</v>
      </c>
      <c r="X14" s="122">
        <v>5.8299999999999998E-2</v>
      </c>
      <c r="Y14" s="122">
        <f>C14</f>
        <v>5.28E-2</v>
      </c>
      <c r="Z14" s="122">
        <v>5.8299999999999998E-2</v>
      </c>
      <c r="AA14" s="122">
        <v>5.8299999999999998E-2</v>
      </c>
      <c r="AB14" s="122">
        <v>5.8299999999999998E-2</v>
      </c>
      <c r="AC14" s="176"/>
      <c r="AD14" s="176"/>
      <c r="AE14" s="176"/>
      <c r="AQ14" s="136" t="s">
        <v>222</v>
      </c>
    </row>
    <row r="15" spans="1:43" x14ac:dyDescent="0.3">
      <c r="A15" s="74"/>
      <c r="B15" s="128" t="s">
        <v>248</v>
      </c>
      <c r="C15" s="122">
        <f>(90%-C14*C22)/(25-C22)</f>
        <v>1.78E-2</v>
      </c>
      <c r="D15" s="122">
        <f>C15</f>
        <v>1.78E-2</v>
      </c>
      <c r="E15" s="122">
        <f>D15</f>
        <v>1.78E-2</v>
      </c>
      <c r="F15" s="122">
        <f>(90%-F14*10)/15</f>
        <v>1.3333333333333331E-2</v>
      </c>
      <c r="G15" s="122">
        <f>(90%-G14*G22)/(25-G22)</f>
        <v>1.78E-2</v>
      </c>
      <c r="H15" s="122">
        <f>(H16-H14*H22)/(25-H22)</f>
        <v>1.5415384615384617E-2</v>
      </c>
      <c r="I15" s="122">
        <f>(I16-I14*I22)/(25-I22)</f>
        <v>2.0000000000000004E-2</v>
      </c>
      <c r="J15" s="122">
        <f>(J16-J14*J22)/(25-J22)</f>
        <v>1.6716666666666668E-2</v>
      </c>
      <c r="K15" s="122">
        <f>(90%-K14*K22)/(25-K22)</f>
        <v>1.78E-2</v>
      </c>
      <c r="L15" s="122">
        <f>(L16-L14*L22)/(25-L22)</f>
        <v>1.5415384615384617E-2</v>
      </c>
      <c r="M15" s="122">
        <f>(M16-M14*M22)/(25-M22)</f>
        <v>1.5415384615384617E-2</v>
      </c>
      <c r="N15" s="122">
        <f t="shared" ref="N15:O15" si="2">(N16-N14*N22)/(25-N22)</f>
        <v>1.6716666666666668E-2</v>
      </c>
      <c r="O15" s="122">
        <f t="shared" si="2"/>
        <v>1.5415384615384617E-2</v>
      </c>
      <c r="P15" s="122">
        <f>(P16-P14*P22)/(25-P22)</f>
        <v>1.3333333333333331E-2</v>
      </c>
      <c r="Q15" s="178"/>
      <c r="R15" s="122">
        <f>(R16-R14*R22)/(25-R22)</f>
        <v>1.5415384615384617E-2</v>
      </c>
      <c r="S15" s="122">
        <f t="shared" ref="S15:T15" si="3">(S16-S14*S22)/(25-S22)</f>
        <v>1.5415384615384617E-2</v>
      </c>
      <c r="T15" s="122">
        <f t="shared" si="3"/>
        <v>1.5415384615384617E-2</v>
      </c>
      <c r="U15" s="122">
        <f t="shared" ref="U15" si="4">(U16-U14*U22)/(25-U22)</f>
        <v>1.3333333333333331E-2</v>
      </c>
      <c r="V15" s="122">
        <f t="shared" ref="V15" si="5">(V16-V14*V22)/(25-V22)</f>
        <v>1.78E-2</v>
      </c>
      <c r="W15" s="122">
        <f t="shared" ref="W15" si="6">(W16-W14*W22)/(25-W22)</f>
        <v>1.78E-2</v>
      </c>
      <c r="X15" s="122">
        <f t="shared" ref="X15" si="7">(X16-X14*X22)/(25-X22)</f>
        <v>1.5415384615384617E-2</v>
      </c>
      <c r="Y15" s="122">
        <f t="shared" ref="Y15" si="8">(Y16-Y14*Y22)/(25-Y22)</f>
        <v>2.4799999999999999E-2</v>
      </c>
      <c r="Z15" s="122">
        <f t="shared" ref="Z15" si="9">(Z16-Z14*Z22)/(25-Z22)</f>
        <v>1.5415384615384617E-2</v>
      </c>
      <c r="AA15" s="122">
        <f t="shared" ref="AA15" si="10">(AA16-AA14*AA22)/(25-AA22)</f>
        <v>1.1841666666666667E-2</v>
      </c>
      <c r="AB15" s="122">
        <f t="shared" ref="AB15" si="11">(AB16-AB14*AB22)/(25-AB22)</f>
        <v>1.5415384615384617E-2</v>
      </c>
      <c r="AC15" s="176"/>
      <c r="AD15" s="176"/>
      <c r="AE15" s="176"/>
      <c r="AQ15" s="135" t="s">
        <v>223</v>
      </c>
    </row>
    <row r="16" spans="1:43" x14ac:dyDescent="0.3">
      <c r="A16" s="74"/>
      <c r="B16" s="60" t="s">
        <v>249</v>
      </c>
      <c r="C16" s="122">
        <v>0.9</v>
      </c>
      <c r="D16" s="122">
        <v>0.9</v>
      </c>
      <c r="E16" s="122">
        <v>0.9</v>
      </c>
      <c r="F16" s="122">
        <v>0.9</v>
      </c>
      <c r="G16" s="122">
        <v>0.9</v>
      </c>
      <c r="H16" s="122">
        <v>0.9</v>
      </c>
      <c r="I16" s="122">
        <v>0.9</v>
      </c>
      <c r="J16" s="122">
        <v>0.9</v>
      </c>
      <c r="K16" s="122">
        <v>0.9</v>
      </c>
      <c r="L16" s="122">
        <v>0.9</v>
      </c>
      <c r="M16" s="122">
        <v>0.9</v>
      </c>
      <c r="N16" s="122">
        <v>0.9</v>
      </c>
      <c r="O16" s="122">
        <v>0.9</v>
      </c>
      <c r="P16" s="122">
        <v>0.9</v>
      </c>
      <c r="Q16" s="178"/>
      <c r="R16" s="122">
        <v>0.9</v>
      </c>
      <c r="S16" s="122">
        <v>0.9</v>
      </c>
      <c r="T16" s="122">
        <v>0.9</v>
      </c>
      <c r="U16" s="122">
        <v>0.9</v>
      </c>
      <c r="V16" s="122">
        <v>0.9</v>
      </c>
      <c r="W16" s="122">
        <v>0.9</v>
      </c>
      <c r="X16" s="122">
        <v>0.9</v>
      </c>
      <c r="Y16" s="122">
        <v>0.9</v>
      </c>
      <c r="Z16" s="122">
        <v>0.9</v>
      </c>
      <c r="AA16" s="122">
        <v>0.9</v>
      </c>
      <c r="AB16" s="122">
        <v>0.9</v>
      </c>
      <c r="AC16" s="176"/>
      <c r="AD16" s="176"/>
      <c r="AE16" s="176"/>
      <c r="AQ16" s="135" t="s">
        <v>224</v>
      </c>
    </row>
    <row r="17" spans="1:43" x14ac:dyDescent="0.3">
      <c r="A17" s="74"/>
      <c r="B17" s="60" t="s">
        <v>197</v>
      </c>
      <c r="C17" s="122">
        <f>'Input Sheet'!D5</f>
        <v>0.23</v>
      </c>
      <c r="D17" s="122">
        <f>'Input Sheet'!E5</f>
        <v>0.23</v>
      </c>
      <c r="E17" s="122">
        <f>'Input Sheet'!F5</f>
        <v>0.23</v>
      </c>
      <c r="F17" s="122">
        <f>'Input Sheet'!G5</f>
        <v>0.23</v>
      </c>
      <c r="G17" s="122">
        <f>'Input Sheet'!H5</f>
        <v>0.23</v>
      </c>
      <c r="H17" s="122">
        <f>'Input Sheet'!I5</f>
        <v>0.23</v>
      </c>
      <c r="I17" s="122">
        <f>'Input Sheet'!J5</f>
        <v>0.23</v>
      </c>
      <c r="J17" s="122">
        <f>'Input Sheet'!K5</f>
        <v>0.23</v>
      </c>
      <c r="K17" s="122">
        <f>'Input Sheet'!L5</f>
        <v>0.23</v>
      </c>
      <c r="L17" s="122">
        <f>'Input Sheet'!M5</f>
        <v>0.23</v>
      </c>
      <c r="M17" s="122">
        <f>'Input Sheet'!N5</f>
        <v>0.23</v>
      </c>
      <c r="N17" s="122">
        <f>'Input Sheet'!O5</f>
        <v>0.23</v>
      </c>
      <c r="O17" s="122">
        <f>'Input Sheet'!P5</f>
        <v>0.23</v>
      </c>
      <c r="P17" s="122">
        <f>'Input Sheet'!Q5</f>
        <v>0.23</v>
      </c>
      <c r="Q17" s="178"/>
      <c r="R17" s="122">
        <f>'Input Sheet'!S5</f>
        <v>0.23</v>
      </c>
      <c r="S17" s="122">
        <f>'Input Sheet'!T5</f>
        <v>0.23</v>
      </c>
      <c r="T17" s="122">
        <f>'Input Sheet'!U5</f>
        <v>0.23</v>
      </c>
      <c r="U17" s="122">
        <f>'Input Sheet'!V5</f>
        <v>0.23</v>
      </c>
      <c r="V17" s="122">
        <f>'Input Sheet'!W5</f>
        <v>0.23</v>
      </c>
      <c r="W17" s="122">
        <f>'Input Sheet'!X5</f>
        <v>0.23</v>
      </c>
      <c r="X17" s="122">
        <f>'Input Sheet'!Y5</f>
        <v>0.23</v>
      </c>
      <c r="Y17" s="122">
        <f>'Input Sheet'!Z5</f>
        <v>0.23</v>
      </c>
      <c r="Z17" s="122">
        <f>'Input Sheet'!AA5</f>
        <v>0.23</v>
      </c>
      <c r="AA17" s="122">
        <f>'Input Sheet'!AB5</f>
        <v>0.23</v>
      </c>
      <c r="AB17" s="122">
        <f>'Input Sheet'!AC5</f>
        <v>0</v>
      </c>
      <c r="AC17" s="176"/>
      <c r="AD17" s="176"/>
      <c r="AE17" s="176"/>
      <c r="AQ17" s="135" t="s">
        <v>225</v>
      </c>
    </row>
    <row r="18" spans="1:43" x14ac:dyDescent="0.3">
      <c r="A18" s="74"/>
      <c r="B18" s="60" t="s">
        <v>3</v>
      </c>
      <c r="C18" s="123">
        <f>'Cost Requirement'!$C$20</f>
        <v>10</v>
      </c>
      <c r="D18" s="123">
        <f>'Cost Requirement'!$C$20</f>
        <v>10</v>
      </c>
      <c r="E18" s="123">
        <f>'Cost Requirement'!$C$20</f>
        <v>10</v>
      </c>
      <c r="F18" s="123">
        <f>'Cost Requirement'!$C$20</f>
        <v>10</v>
      </c>
      <c r="G18" s="123">
        <f>'Cost Requirement'!$C$20</f>
        <v>10</v>
      </c>
      <c r="H18" s="123">
        <f>'Cost Requirement'!$C$20</f>
        <v>10</v>
      </c>
      <c r="I18" s="123">
        <f>'Cost Requirement'!$C$20</f>
        <v>10</v>
      </c>
      <c r="J18" s="123">
        <f>'Cost Requirement'!$C$20</f>
        <v>10</v>
      </c>
      <c r="K18" s="123">
        <f>'Cost Requirement'!$C$20</f>
        <v>10</v>
      </c>
      <c r="L18" s="123">
        <f>'Cost Requirement'!$C$20</f>
        <v>10</v>
      </c>
      <c r="M18" s="123">
        <f>'Cost Requirement'!$C$20</f>
        <v>10</v>
      </c>
      <c r="N18" s="123">
        <f>'Cost Requirement'!$C$20</f>
        <v>10</v>
      </c>
      <c r="O18" s="123">
        <f>'Cost Requirement'!$C$20</f>
        <v>10</v>
      </c>
      <c r="P18" s="123">
        <f>'Cost Requirement'!$C$20</f>
        <v>10</v>
      </c>
      <c r="Q18" s="178"/>
      <c r="R18" s="123">
        <f>'Cost Requirement'!$C$20</f>
        <v>10</v>
      </c>
      <c r="S18" s="123">
        <f>'Cost Requirement'!$C$20</f>
        <v>10</v>
      </c>
      <c r="T18" s="123">
        <f>'Cost Requirement'!$C$20</f>
        <v>10</v>
      </c>
      <c r="U18" s="123">
        <f>'Cost Requirement'!$C$20</f>
        <v>10</v>
      </c>
      <c r="V18" s="123">
        <f>'Cost Requirement'!$C$20</f>
        <v>10</v>
      </c>
      <c r="W18" s="123">
        <f>'Cost Requirement'!$C$20</f>
        <v>10</v>
      </c>
      <c r="X18" s="123">
        <f>'Cost Requirement'!$C$20</f>
        <v>10</v>
      </c>
      <c r="Y18" s="123">
        <f>'Cost Requirement'!$C$20</f>
        <v>10</v>
      </c>
      <c r="Z18" s="123">
        <f>'Cost Requirement'!$C$20</f>
        <v>10</v>
      </c>
      <c r="AA18" s="123">
        <f>'Cost Requirement'!$C$20</f>
        <v>10</v>
      </c>
      <c r="AB18" s="123">
        <f>'Cost Requirement'!$C$20</f>
        <v>10</v>
      </c>
      <c r="AC18" s="176"/>
      <c r="AD18" s="176"/>
      <c r="AE18" s="176"/>
      <c r="AQ18" s="135" t="s">
        <v>226</v>
      </c>
    </row>
    <row r="19" spans="1:43" ht="15" customHeight="1" x14ac:dyDescent="0.3">
      <c r="A19" s="74"/>
      <c r="B19" s="60" t="s">
        <v>211</v>
      </c>
      <c r="C19" s="123">
        <f>'Cost Requirement'!$C$18</f>
        <v>4</v>
      </c>
      <c r="D19" s="123">
        <f>'Cost Requirement'!$C$18</f>
        <v>4</v>
      </c>
      <c r="E19" s="123">
        <f>'Cost Requirement'!$C$18</f>
        <v>4</v>
      </c>
      <c r="F19" s="123">
        <f>'Cost Requirement'!$C$18</f>
        <v>4</v>
      </c>
      <c r="G19" s="123">
        <f>'Cost Requirement'!$C$18</f>
        <v>4</v>
      </c>
      <c r="H19" s="123">
        <f>'Cost Requirement'!$C$18</f>
        <v>4</v>
      </c>
      <c r="I19" s="123">
        <f>'Cost Requirement'!$C$18</f>
        <v>4</v>
      </c>
      <c r="J19" s="123">
        <f>'Cost Requirement'!$C$18</f>
        <v>4</v>
      </c>
      <c r="K19" s="123">
        <f>'Cost Requirement'!$C$18</f>
        <v>4</v>
      </c>
      <c r="L19" s="123">
        <f>'Cost Requirement'!$C$18</f>
        <v>4</v>
      </c>
      <c r="M19" s="123">
        <f>'Cost Requirement'!$C$18</f>
        <v>4</v>
      </c>
      <c r="N19" s="123">
        <f>'Cost Requirement'!$C$18</f>
        <v>4</v>
      </c>
      <c r="O19" s="123">
        <f>'Cost Requirement'!$C$18</f>
        <v>4</v>
      </c>
      <c r="P19" s="123">
        <f>'Cost Requirement'!$C$18</f>
        <v>4</v>
      </c>
      <c r="Q19" s="178"/>
      <c r="R19" s="123">
        <f>'Cost Requirement'!$C$18</f>
        <v>4</v>
      </c>
      <c r="S19" s="123">
        <f>'Cost Requirement'!$C$18</f>
        <v>4</v>
      </c>
      <c r="T19" s="123">
        <f>'Cost Requirement'!$C$18</f>
        <v>4</v>
      </c>
      <c r="U19" s="123">
        <f>'Cost Requirement'!$C$18</f>
        <v>4</v>
      </c>
      <c r="V19" s="123">
        <f>'Cost Requirement'!$C$18</f>
        <v>4</v>
      </c>
      <c r="W19" s="123">
        <f>'Cost Requirement'!$C$18</f>
        <v>4</v>
      </c>
      <c r="X19" s="123">
        <f>'Cost Requirement'!$C$18</f>
        <v>4</v>
      </c>
      <c r="Y19" s="123">
        <f>'Cost Requirement'!$C$18</f>
        <v>4</v>
      </c>
      <c r="Z19" s="123">
        <f>'Cost Requirement'!$C$18</f>
        <v>4</v>
      </c>
      <c r="AA19" s="123">
        <f>'Cost Requirement'!$C$18</f>
        <v>4</v>
      </c>
      <c r="AB19" s="123">
        <f>'Cost Requirement'!$C$18</f>
        <v>4</v>
      </c>
      <c r="AC19" s="176"/>
      <c r="AD19" s="176"/>
      <c r="AE19" s="176"/>
      <c r="AQ19" s="136" t="s">
        <v>227</v>
      </c>
    </row>
    <row r="20" spans="1:43" ht="15" customHeight="1" x14ac:dyDescent="0.3">
      <c r="A20" s="74"/>
      <c r="B20" s="60" t="s">
        <v>179</v>
      </c>
      <c r="C20" s="126">
        <f>'Cost Requirement'!$D$22</f>
        <v>0</v>
      </c>
      <c r="D20" s="126">
        <f>'Cost Requirement'!$D$22</f>
        <v>0</v>
      </c>
      <c r="E20" s="126">
        <f>'Cost Requirement'!$D$22</f>
        <v>0</v>
      </c>
      <c r="F20" s="126">
        <f>'Cost Requirement'!$D$22</f>
        <v>0</v>
      </c>
      <c r="G20" s="126">
        <f>'Cost Requirement'!$D$22</f>
        <v>0</v>
      </c>
      <c r="H20" s="126">
        <f>'Cost Requirement'!$D$22</f>
        <v>0</v>
      </c>
      <c r="I20" s="126">
        <f>'Cost Requirement'!$D$22</f>
        <v>0</v>
      </c>
      <c r="J20" s="126">
        <f>'Cost Requirement'!$D$22</f>
        <v>0</v>
      </c>
      <c r="K20" s="126">
        <f>'Cost Requirement'!$D$22</f>
        <v>0</v>
      </c>
      <c r="L20" s="126">
        <f>'Cost Requirement'!$D$22</f>
        <v>0</v>
      </c>
      <c r="M20" s="126">
        <f>'Cost Requirement'!$D$22</f>
        <v>0</v>
      </c>
      <c r="N20" s="126">
        <f>'Cost Requirement'!$D$22</f>
        <v>0</v>
      </c>
      <c r="O20" s="126">
        <f>'Cost Requirement'!$D$22</f>
        <v>0</v>
      </c>
      <c r="P20" s="126">
        <f>'Cost Requirement'!$D$22</f>
        <v>0</v>
      </c>
      <c r="Q20" s="178"/>
      <c r="R20" s="126">
        <f>'Cost Requirement'!$D$22</f>
        <v>0</v>
      </c>
      <c r="S20" s="126">
        <f>'Cost Requirement'!$D$22</f>
        <v>0</v>
      </c>
      <c r="T20" s="126">
        <f>'Cost Requirement'!$D$22</f>
        <v>0</v>
      </c>
      <c r="U20" s="126">
        <f>'Cost Requirement'!$D$22</f>
        <v>0</v>
      </c>
      <c r="V20" s="126">
        <f>'Cost Requirement'!$D$22</f>
        <v>0</v>
      </c>
      <c r="W20" s="126">
        <f>'Cost Requirement'!$D$22</f>
        <v>0</v>
      </c>
      <c r="X20" s="126">
        <f>'Cost Requirement'!$D$22</f>
        <v>0</v>
      </c>
      <c r="Y20" s="126">
        <f>'Cost Requirement'!$D$22</f>
        <v>0</v>
      </c>
      <c r="Z20" s="126">
        <f>'Cost Requirement'!$D$22</f>
        <v>0</v>
      </c>
      <c r="AA20" s="126">
        <f>'Cost Requirement'!$D$22</f>
        <v>0</v>
      </c>
      <c r="AB20" s="126">
        <f>'Cost Requirement'!$D$22</f>
        <v>0</v>
      </c>
      <c r="AC20" s="176"/>
      <c r="AD20" s="176"/>
      <c r="AE20" s="176"/>
      <c r="AQ20" s="136" t="s">
        <v>255</v>
      </c>
    </row>
    <row r="21" spans="1:43" x14ac:dyDescent="0.3">
      <c r="A21" s="74"/>
      <c r="B21" s="60" t="s">
        <v>163</v>
      </c>
      <c r="C21" s="122">
        <f ca="1">Financial!$D$19</f>
        <v>0.1427080515467789</v>
      </c>
      <c r="D21" s="122">
        <f ca="1">Financial!$D$19</f>
        <v>0.1427080515467789</v>
      </c>
      <c r="E21" s="122">
        <f ca="1">Financial!$D$19</f>
        <v>0.1427080515467789</v>
      </c>
      <c r="F21" s="122">
        <f ca="1">Financial!$D$19</f>
        <v>0.1427080515467789</v>
      </c>
      <c r="G21" s="122">
        <f ca="1">Financial!$D$19</f>
        <v>0.1427080515467789</v>
      </c>
      <c r="H21" s="122">
        <f ca="1">Financial!$D$19</f>
        <v>0.1427080515467789</v>
      </c>
      <c r="I21" s="122">
        <f ca="1">Financial!$D$19</f>
        <v>0.1427080515467789</v>
      </c>
      <c r="J21" s="122">
        <f ca="1">Financial!$D$19</f>
        <v>0.1427080515467789</v>
      </c>
      <c r="K21" s="122">
        <f ca="1">Financial!$D$19</f>
        <v>0.1427080515467789</v>
      </c>
      <c r="L21" s="122">
        <f ca="1">Financial!$D$19</f>
        <v>0.1427080515467789</v>
      </c>
      <c r="M21" s="122">
        <f ca="1">Financial!$D$19</f>
        <v>0.1427080515467789</v>
      </c>
      <c r="N21" s="122">
        <f ca="1">Financial!$D$19</f>
        <v>0.1427080515467789</v>
      </c>
      <c r="O21" s="122">
        <f ca="1">Financial!$D$19</f>
        <v>0.1427080515467789</v>
      </c>
      <c r="P21" s="122">
        <f ca="1">Financial!$D$19</f>
        <v>0.1427080515467789</v>
      </c>
      <c r="Q21" s="178"/>
      <c r="R21" s="122">
        <f ca="1">Financial!$D$19</f>
        <v>0.1427080515467789</v>
      </c>
      <c r="S21" s="122">
        <f ca="1">Financial!$D$19</f>
        <v>0.1427080515467789</v>
      </c>
      <c r="T21" s="122">
        <f ca="1">Financial!$D$19</f>
        <v>0.1427080515467789</v>
      </c>
      <c r="U21" s="122">
        <f ca="1">Financial!$D$19</f>
        <v>0.1427080515467789</v>
      </c>
      <c r="V21" s="122">
        <f ca="1">Financial!$D$19</f>
        <v>0.1427080515467789</v>
      </c>
      <c r="W21" s="122">
        <f ca="1">Financial!$D$19</f>
        <v>0.1427080515467789</v>
      </c>
      <c r="X21" s="122">
        <f ca="1">Financial!$D$19</f>
        <v>0.1427080515467789</v>
      </c>
      <c r="Y21" s="122">
        <f ca="1">Financial!$D$19</f>
        <v>0.1427080515467789</v>
      </c>
      <c r="Z21" s="122">
        <f ca="1">Financial!$D$19</f>
        <v>0.1427080515467789</v>
      </c>
      <c r="AA21" s="122">
        <f ca="1">Financial!$D$19</f>
        <v>0.1427080515467789</v>
      </c>
      <c r="AB21" s="122">
        <f ca="1">Financial!$D$19</f>
        <v>0.1427080515467789</v>
      </c>
      <c r="AC21" s="176"/>
      <c r="AD21" s="176"/>
      <c r="AE21" s="176"/>
      <c r="AQ21" s="135" t="s">
        <v>228</v>
      </c>
    </row>
    <row r="22" spans="1:43" x14ac:dyDescent="0.3">
      <c r="A22" s="74"/>
      <c r="B22" s="60" t="s">
        <v>242</v>
      </c>
      <c r="C22" s="124">
        <v>13</v>
      </c>
      <c r="D22" s="124">
        <v>13</v>
      </c>
      <c r="E22" s="124">
        <v>13</v>
      </c>
      <c r="F22" s="124">
        <v>10</v>
      </c>
      <c r="G22" s="124">
        <v>13</v>
      </c>
      <c r="H22" s="124">
        <v>12</v>
      </c>
      <c r="I22" s="124">
        <v>10</v>
      </c>
      <c r="J22" s="124">
        <v>13</v>
      </c>
      <c r="K22" s="124">
        <v>13</v>
      </c>
      <c r="L22" s="124">
        <v>12</v>
      </c>
      <c r="M22" s="124">
        <v>12</v>
      </c>
      <c r="N22" s="124">
        <v>13</v>
      </c>
      <c r="O22" s="124">
        <v>12</v>
      </c>
      <c r="P22" s="124">
        <v>10</v>
      </c>
      <c r="Q22" s="178"/>
      <c r="R22" s="124">
        <v>12</v>
      </c>
      <c r="S22" s="124">
        <v>12</v>
      </c>
      <c r="T22" s="124">
        <v>12</v>
      </c>
      <c r="U22" s="124">
        <v>10</v>
      </c>
      <c r="V22" s="124">
        <v>13</v>
      </c>
      <c r="W22" s="124">
        <v>13</v>
      </c>
      <c r="X22" s="124">
        <v>12</v>
      </c>
      <c r="Y22" s="124">
        <v>10</v>
      </c>
      <c r="Z22" s="124">
        <v>12</v>
      </c>
      <c r="AA22" s="124">
        <v>13</v>
      </c>
      <c r="AB22" s="124">
        <v>12</v>
      </c>
      <c r="AC22" s="176"/>
      <c r="AD22" s="176"/>
      <c r="AE22" s="176"/>
      <c r="AQ22" s="135" t="s">
        <v>229</v>
      </c>
    </row>
    <row r="23" spans="1:43" x14ac:dyDescent="0.3">
      <c r="A23" s="74"/>
      <c r="B23" s="74"/>
      <c r="C23" s="127"/>
      <c r="D23" s="127"/>
      <c r="E23" s="127"/>
      <c r="F23" s="127"/>
      <c r="G23" s="127"/>
      <c r="H23" s="127"/>
      <c r="I23" s="123"/>
      <c r="J23" s="123"/>
      <c r="K23" s="123"/>
      <c r="L23" s="123"/>
      <c r="M23" s="123"/>
      <c r="N23" s="123"/>
      <c r="O23" s="123"/>
      <c r="P23" s="122"/>
      <c r="Q23" s="178"/>
      <c r="R23" s="123"/>
      <c r="S23" s="123"/>
      <c r="T23" s="123"/>
      <c r="U23" s="123"/>
      <c r="V23" s="123"/>
      <c r="W23" s="123"/>
      <c r="X23" s="123"/>
      <c r="Y23" s="123"/>
      <c r="Z23" s="123"/>
      <c r="AA23" s="123"/>
      <c r="AB23" s="123"/>
      <c r="AC23" s="176"/>
      <c r="AD23" s="176"/>
      <c r="AE23" s="176"/>
      <c r="AQ23" s="135" t="s">
        <v>230</v>
      </c>
    </row>
    <row r="24" spans="1:43" x14ac:dyDescent="0.3">
      <c r="A24" s="74"/>
      <c r="B24" s="74"/>
      <c r="C24" s="127"/>
      <c r="D24" s="127"/>
      <c r="E24" s="127"/>
      <c r="F24" s="127"/>
      <c r="G24" s="127"/>
      <c r="H24" s="127"/>
      <c r="I24" s="123"/>
      <c r="J24" s="123"/>
      <c r="K24" s="123"/>
      <c r="L24" s="123"/>
      <c r="M24" s="123"/>
      <c r="N24" s="123"/>
      <c r="O24" s="123"/>
      <c r="P24" s="123"/>
      <c r="Q24" s="138"/>
      <c r="R24" s="123"/>
      <c r="S24" s="123"/>
      <c r="T24" s="123"/>
      <c r="U24" s="123"/>
      <c r="V24" s="123"/>
      <c r="W24" s="123"/>
      <c r="X24" s="123"/>
      <c r="Y24" s="123"/>
      <c r="Z24" s="123"/>
      <c r="AA24" s="123"/>
      <c r="AB24" s="123"/>
      <c r="AC24" s="139"/>
      <c r="AD24" s="176"/>
      <c r="AE24" s="176"/>
      <c r="AQ24" s="135" t="s">
        <v>231</v>
      </c>
    </row>
    <row r="25" spans="1:43" x14ac:dyDescent="0.3">
      <c r="A25" s="74"/>
      <c r="B25" s="74"/>
      <c r="C25" s="127"/>
      <c r="D25" s="127"/>
      <c r="E25" s="127"/>
      <c r="F25" s="127"/>
      <c r="G25" s="127"/>
      <c r="H25" s="127"/>
      <c r="I25" s="123"/>
      <c r="J25" s="123"/>
      <c r="K25" s="123"/>
      <c r="L25" s="123"/>
      <c r="M25" s="123"/>
      <c r="N25" s="123"/>
      <c r="O25" s="123"/>
      <c r="P25" s="123"/>
      <c r="Q25" s="138"/>
      <c r="R25" s="123"/>
      <c r="S25" s="123"/>
      <c r="T25" s="123"/>
      <c r="U25" s="123"/>
      <c r="V25" s="123"/>
      <c r="W25" s="123"/>
      <c r="X25" s="123"/>
      <c r="Y25" s="123"/>
      <c r="Z25" s="123"/>
      <c r="AA25" s="123"/>
      <c r="AB25" s="123"/>
      <c r="AC25" s="139"/>
      <c r="AD25" s="176"/>
      <c r="AE25" s="176"/>
      <c r="AQ25" s="135" t="s">
        <v>232</v>
      </c>
    </row>
    <row r="26" spans="1:43" x14ac:dyDescent="0.3">
      <c r="A26" s="74"/>
      <c r="B26" s="74"/>
      <c r="C26" s="127"/>
      <c r="D26" s="127"/>
      <c r="E26" s="127"/>
      <c r="F26" s="127"/>
      <c r="G26" s="127"/>
      <c r="H26" s="127"/>
      <c r="I26" s="123"/>
      <c r="J26" s="123"/>
      <c r="K26" s="123"/>
      <c r="L26" s="123"/>
      <c r="M26" s="123"/>
      <c r="N26" s="123"/>
      <c r="O26" s="123"/>
      <c r="P26" s="123"/>
      <c r="Q26" s="138"/>
      <c r="R26" s="123"/>
      <c r="S26" s="123"/>
      <c r="T26" s="123"/>
      <c r="U26" s="123"/>
      <c r="V26" s="123"/>
      <c r="W26" s="123"/>
      <c r="X26" s="123"/>
      <c r="Y26" s="123"/>
      <c r="Z26" s="123"/>
      <c r="AA26" s="123"/>
      <c r="AB26" s="123"/>
      <c r="AC26" s="139"/>
      <c r="AD26" s="176"/>
      <c r="AE26" s="176"/>
      <c r="AQ26" s="135" t="s">
        <v>233</v>
      </c>
    </row>
    <row r="27" spans="1:43" x14ac:dyDescent="0.3">
      <c r="A27" s="74"/>
      <c r="B27" s="74" t="s">
        <v>214</v>
      </c>
      <c r="C27" s="137">
        <v>3.15</v>
      </c>
      <c r="D27" s="123"/>
      <c r="E27" s="150"/>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123"/>
      <c r="AD27" s="176"/>
      <c r="AE27" s="176"/>
      <c r="AQ27" s="135" t="s">
        <v>234</v>
      </c>
    </row>
    <row r="28" spans="1:43" ht="28.8" x14ac:dyDescent="0.3">
      <c r="E28" s="130"/>
      <c r="AQ28" s="136" t="s">
        <v>235</v>
      </c>
    </row>
    <row r="29" spans="1:43" x14ac:dyDescent="0.3">
      <c r="D29" s="1"/>
      <c r="E29" s="131"/>
      <c r="F29" t="s">
        <v>256</v>
      </c>
      <c r="I29" t="s">
        <v>262</v>
      </c>
      <c r="AQ29" s="135" t="s">
        <v>236</v>
      </c>
    </row>
    <row r="30" spans="1:43" ht="15" customHeight="1" x14ac:dyDescent="0.3">
      <c r="D30" s="1"/>
      <c r="E30" s="131"/>
      <c r="F30" t="s">
        <v>257</v>
      </c>
      <c r="G30" t="s">
        <v>258</v>
      </c>
      <c r="I30">
        <v>1</v>
      </c>
      <c r="J30">
        <v>1</v>
      </c>
      <c r="AQ30" s="136" t="s">
        <v>237</v>
      </c>
    </row>
    <row r="31" spans="1:43" ht="43.2" x14ac:dyDescent="0.3">
      <c r="D31" s="1"/>
      <c r="E31" s="132"/>
      <c r="F31" s="146" t="s">
        <v>32</v>
      </c>
      <c r="G31" s="146" t="s">
        <v>259</v>
      </c>
      <c r="H31" s="146" t="s">
        <v>260</v>
      </c>
      <c r="AQ31" s="136" t="s">
        <v>238</v>
      </c>
    </row>
    <row r="32" spans="1:43" ht="28.8" x14ac:dyDescent="0.3">
      <c r="E32" s="130" t="s">
        <v>61</v>
      </c>
      <c r="F32" s="145" t="s">
        <v>34</v>
      </c>
      <c r="G32" s="145" t="s">
        <v>261</v>
      </c>
      <c r="I32">
        <v>2</v>
      </c>
      <c r="AQ32" s="136" t="s">
        <v>239</v>
      </c>
    </row>
    <row r="33" spans="5:43" ht="28.8" x14ac:dyDescent="0.3">
      <c r="E33" s="133"/>
      <c r="F33" s="145" t="s">
        <v>263</v>
      </c>
      <c r="I33">
        <v>1</v>
      </c>
      <c r="AQ33" s="136" t="s">
        <v>240</v>
      </c>
    </row>
    <row r="34" spans="5:43" x14ac:dyDescent="0.3">
      <c r="E34" s="134"/>
      <c r="I34">
        <f>SUM(I30:I33,J30)</f>
        <v>5</v>
      </c>
      <c r="AQ34" s="135" t="s">
        <v>241</v>
      </c>
    </row>
    <row r="35" spans="5:43" x14ac:dyDescent="0.3">
      <c r="E35" s="131"/>
      <c r="AQ35" s="136"/>
    </row>
    <row r="36" spans="5:43" x14ac:dyDescent="0.3">
      <c r="E36" s="40"/>
      <c r="AQ36" s="135"/>
    </row>
    <row r="37" spans="5:43" x14ac:dyDescent="0.3">
      <c r="E37" s="40"/>
    </row>
    <row r="38" spans="5:43" x14ac:dyDescent="0.3">
      <c r="E38" s="40"/>
    </row>
    <row r="39" spans="5:43" x14ac:dyDescent="0.3">
      <c r="E39" s="40"/>
    </row>
    <row r="40" spans="5:43" x14ac:dyDescent="0.3">
      <c r="E40" s="40"/>
    </row>
  </sheetData>
  <mergeCells count="13">
    <mergeCell ref="B1:B2"/>
    <mergeCell ref="D1:D2"/>
    <mergeCell ref="G1:G2"/>
    <mergeCell ref="K1:K2"/>
    <mergeCell ref="P1:P2"/>
    <mergeCell ref="AE8:AE27"/>
    <mergeCell ref="AC1:AC2"/>
    <mergeCell ref="AD1:AD2"/>
    <mergeCell ref="Q3:Q23"/>
    <mergeCell ref="Y1:Y2"/>
    <mergeCell ref="AA1:AA2"/>
    <mergeCell ref="AC8:AC23"/>
    <mergeCell ref="AD8:AD27"/>
  </mergeCells>
  <dataValidations count="1">
    <dataValidation type="list" allowBlank="1" showInputMessage="1" showErrorMessage="1" sqref="B27" xr:uid="{42953165-681F-49DA-BF63-39C622251EFC}">
      <formula1>$AQ$5:$AQ$34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Show_Tariff">
                <anchor moveWithCells="1" sizeWithCells="1">
                  <from>
                    <xdr:col>3</xdr:col>
                    <xdr:colOff>68580</xdr:colOff>
                    <xdr:row>26</xdr:row>
                    <xdr:rowOff>22860</xdr:rowOff>
                  </from>
                  <to>
                    <xdr:col>3</xdr:col>
                    <xdr:colOff>632460</xdr:colOff>
                    <xdr:row>26</xdr:row>
                    <xdr:rowOff>175260</xdr:rowOff>
                  </to>
                </anchor>
              </controlPr>
            </control>
          </mc:Choice>
        </mc:AlternateContent>
        <mc:AlternateContent xmlns:mc="http://schemas.openxmlformats.org/markup-compatibility/2006">
          <mc:Choice Requires="x14">
            <control shapeId="9221" r:id="rId4" name="Button 5">
              <controlPr defaultSize="0" print="0" autoFill="0" autoPict="0" macro="[0]!Check">
                <anchor moveWithCells="1" sizeWithCells="1">
                  <from>
                    <xdr:col>4</xdr:col>
                    <xdr:colOff>106680</xdr:colOff>
                    <xdr:row>26</xdr:row>
                    <xdr:rowOff>22860</xdr:rowOff>
                  </from>
                  <to>
                    <xdr:col>4</xdr:col>
                    <xdr:colOff>609600</xdr:colOff>
                    <xdr:row>26</xdr:row>
                    <xdr:rowOff>160020</xdr:rowOff>
                  </to>
                </anchor>
              </controlPr>
            </control>
          </mc:Choice>
        </mc:AlternateContent>
        <mc:AlternateContent xmlns:mc="http://schemas.openxmlformats.org/markup-compatibility/2006">
          <mc:Choice Requires="x14">
            <control shapeId="9223" r:id="rId5" name="Button 7">
              <controlPr defaultSize="0" print="0" autoFill="0" autoPict="0" macro="[0]!Show_Tariff">
                <anchor moveWithCells="1" sizeWithCells="1">
                  <from>
                    <xdr:col>4</xdr:col>
                    <xdr:colOff>68580</xdr:colOff>
                    <xdr:row>23</xdr:row>
                    <xdr:rowOff>22860</xdr:rowOff>
                  </from>
                  <to>
                    <xdr:col>5</xdr:col>
                    <xdr:colOff>22860</xdr:colOff>
                    <xdr:row>23</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13472-06A8-4CCA-8719-81C475278D68}">
  <sheetPr codeName="Sheet4"/>
  <dimension ref="A1:AD23"/>
  <sheetViews>
    <sheetView workbookViewId="0">
      <pane xSplit="2" ySplit="2" topLeftCell="C3" activePane="bottomRight" state="frozen"/>
      <selection pane="topRight" activeCell="C1" sqref="C1"/>
      <selection pane="bottomLeft" activeCell="A3" sqref="A3"/>
      <selection pane="bottomRight" activeCell="D11" sqref="D11"/>
    </sheetView>
  </sheetViews>
  <sheetFormatPr defaultRowHeight="14.4" x14ac:dyDescent="0.3"/>
  <cols>
    <col min="2" max="2" width="31.5546875" bestFit="1" customWidth="1"/>
    <col min="4" max="5" width="9.109375" customWidth="1"/>
  </cols>
  <sheetData>
    <row r="1" spans="1:30" x14ac:dyDescent="0.3">
      <c r="A1" s="63"/>
      <c r="B1" s="63"/>
      <c r="C1" s="180" t="s">
        <v>31</v>
      </c>
      <c r="D1" s="180"/>
      <c r="E1" s="180"/>
      <c r="F1" s="180"/>
      <c r="G1" s="180"/>
      <c r="H1" s="180"/>
      <c r="I1" s="64"/>
      <c r="J1" s="64"/>
      <c r="K1" s="64"/>
      <c r="L1" s="64"/>
      <c r="M1" s="64"/>
      <c r="N1" s="64"/>
      <c r="O1" s="64"/>
      <c r="P1" s="64"/>
      <c r="Q1" s="64"/>
      <c r="R1" s="64"/>
      <c r="S1" s="64"/>
      <c r="T1" s="64"/>
      <c r="U1" s="64"/>
      <c r="V1" s="64"/>
      <c r="W1" s="64"/>
      <c r="X1" s="64"/>
      <c r="Y1" s="64"/>
      <c r="Z1" s="64"/>
      <c r="AA1" s="64"/>
      <c r="AB1" s="64"/>
      <c r="AC1" s="142"/>
    </row>
    <row r="2" spans="1:30" x14ac:dyDescent="0.3">
      <c r="A2" s="63"/>
      <c r="B2" s="64" t="s">
        <v>30</v>
      </c>
      <c r="C2" s="64" t="s">
        <v>35</v>
      </c>
      <c r="D2" s="64" t="s">
        <v>36</v>
      </c>
      <c r="E2" s="64" t="s">
        <v>37</v>
      </c>
      <c r="F2" s="64" t="s">
        <v>38</v>
      </c>
      <c r="G2" s="64" t="s">
        <v>39</v>
      </c>
      <c r="H2" s="64" t="s">
        <v>40</v>
      </c>
      <c r="I2" s="64" t="s">
        <v>41</v>
      </c>
      <c r="J2" s="64" t="s">
        <v>42</v>
      </c>
      <c r="K2" s="64" t="s">
        <v>43</v>
      </c>
      <c r="L2" s="64" t="s">
        <v>44</v>
      </c>
      <c r="M2" s="64" t="s">
        <v>45</v>
      </c>
      <c r="N2" s="64" t="s">
        <v>46</v>
      </c>
      <c r="O2" s="64" t="s">
        <v>47</v>
      </c>
      <c r="P2" s="64" t="s">
        <v>48</v>
      </c>
      <c r="Q2" s="64" t="s">
        <v>49</v>
      </c>
      <c r="R2" s="64" t="s">
        <v>50</v>
      </c>
      <c r="S2" s="64" t="s">
        <v>51</v>
      </c>
      <c r="T2" s="64" t="s">
        <v>52</v>
      </c>
      <c r="U2" s="64" t="s">
        <v>53</v>
      </c>
      <c r="V2" s="64" t="s">
        <v>54</v>
      </c>
      <c r="W2" s="64" t="s">
        <v>55</v>
      </c>
      <c r="X2" s="64" t="s">
        <v>56</v>
      </c>
      <c r="Y2" s="64" t="s">
        <v>57</v>
      </c>
      <c r="Z2" s="64" t="s">
        <v>58</v>
      </c>
      <c r="AA2" s="64" t="s">
        <v>59</v>
      </c>
      <c r="AB2" s="64" t="s">
        <v>60</v>
      </c>
      <c r="AC2" s="142"/>
    </row>
    <row r="3" spans="1:30" x14ac:dyDescent="0.3">
      <c r="A3" s="63"/>
      <c r="B3" s="64" t="s">
        <v>32</v>
      </c>
      <c r="C3" s="65" t="s">
        <v>61</v>
      </c>
      <c r="D3" s="66">
        <v>5.28E-2</v>
      </c>
      <c r="E3" s="66">
        <v>5.28E-2</v>
      </c>
      <c r="F3" s="66">
        <v>5.28E-2</v>
      </c>
      <c r="G3" s="66">
        <v>5.28E-2</v>
      </c>
      <c r="H3" s="66">
        <v>5.28E-2</v>
      </c>
      <c r="I3" s="66">
        <v>5.28E-2</v>
      </c>
      <c r="J3" s="66">
        <v>5.28E-2</v>
      </c>
      <c r="K3" s="66">
        <v>5.28E-2</v>
      </c>
      <c r="L3" s="66">
        <v>5.28E-2</v>
      </c>
      <c r="M3" s="66">
        <v>5.28E-2</v>
      </c>
      <c r="N3" s="66">
        <v>5.28E-2</v>
      </c>
      <c r="O3" s="66">
        <v>5.28E-2</v>
      </c>
      <c r="P3" s="66">
        <v>5.28E-2</v>
      </c>
      <c r="Q3" s="66">
        <v>1.78E-2</v>
      </c>
      <c r="R3" s="66">
        <v>1.78E-2</v>
      </c>
      <c r="S3" s="66">
        <v>1.78E-2</v>
      </c>
      <c r="T3" s="66">
        <v>1.78E-2</v>
      </c>
      <c r="U3" s="66">
        <v>1.78E-2</v>
      </c>
      <c r="V3" s="66">
        <v>1.78E-2</v>
      </c>
      <c r="W3" s="66">
        <v>1.78E-2</v>
      </c>
      <c r="X3" s="66">
        <v>1.78E-2</v>
      </c>
      <c r="Y3" s="66">
        <v>1.78E-2</v>
      </c>
      <c r="Z3" s="66">
        <v>1.78E-2</v>
      </c>
      <c r="AA3" s="66">
        <v>1.78E-2</v>
      </c>
      <c r="AB3" s="66">
        <v>1.78E-2</v>
      </c>
      <c r="AC3" s="142"/>
    </row>
    <row r="4" spans="1:30" x14ac:dyDescent="0.3">
      <c r="A4" s="63"/>
      <c r="B4" s="64" t="s">
        <v>33</v>
      </c>
      <c r="C4" s="65" t="s">
        <v>22</v>
      </c>
      <c r="D4" s="65">
        <v>13</v>
      </c>
      <c r="E4" s="65">
        <f>D4-1</f>
        <v>12</v>
      </c>
      <c r="F4" s="65">
        <f t="shared" ref="F4:Q4" si="0">E4-1</f>
        <v>11</v>
      </c>
      <c r="G4" s="65">
        <f t="shared" si="0"/>
        <v>10</v>
      </c>
      <c r="H4" s="65">
        <f t="shared" si="0"/>
        <v>9</v>
      </c>
      <c r="I4" s="65">
        <f t="shared" si="0"/>
        <v>8</v>
      </c>
      <c r="J4" s="65">
        <f t="shared" si="0"/>
        <v>7</v>
      </c>
      <c r="K4" s="65">
        <f t="shared" si="0"/>
        <v>6</v>
      </c>
      <c r="L4" s="65">
        <f t="shared" si="0"/>
        <v>5</v>
      </c>
      <c r="M4" s="65">
        <f t="shared" si="0"/>
        <v>4</v>
      </c>
      <c r="N4" s="65">
        <f t="shared" si="0"/>
        <v>3</v>
      </c>
      <c r="O4" s="65">
        <f t="shared" si="0"/>
        <v>2</v>
      </c>
      <c r="P4" s="65">
        <f t="shared" si="0"/>
        <v>1</v>
      </c>
      <c r="Q4" s="65">
        <f t="shared" si="0"/>
        <v>0</v>
      </c>
      <c r="R4" s="65">
        <f>Q4</f>
        <v>0</v>
      </c>
      <c r="S4" s="65">
        <f t="shared" ref="S4:AB4" si="1">R4</f>
        <v>0</v>
      </c>
      <c r="T4" s="65">
        <f t="shared" si="1"/>
        <v>0</v>
      </c>
      <c r="U4" s="65">
        <f t="shared" si="1"/>
        <v>0</v>
      </c>
      <c r="V4" s="65">
        <f t="shared" si="1"/>
        <v>0</v>
      </c>
      <c r="W4" s="65">
        <f t="shared" si="1"/>
        <v>0</v>
      </c>
      <c r="X4" s="65">
        <f t="shared" si="1"/>
        <v>0</v>
      </c>
      <c r="Y4" s="65">
        <f t="shared" si="1"/>
        <v>0</v>
      </c>
      <c r="Z4" s="65">
        <f t="shared" si="1"/>
        <v>0</v>
      </c>
      <c r="AA4" s="65">
        <f t="shared" si="1"/>
        <v>0</v>
      </c>
      <c r="AB4" s="65">
        <f t="shared" si="1"/>
        <v>0</v>
      </c>
      <c r="AC4" s="142"/>
    </row>
    <row r="5" spans="1:30" x14ac:dyDescent="0.3">
      <c r="A5" s="63"/>
      <c r="B5" s="64" t="s">
        <v>62</v>
      </c>
      <c r="C5" s="65" t="s">
        <v>61</v>
      </c>
      <c r="D5" s="66">
        <v>0.23</v>
      </c>
      <c r="E5" s="66">
        <f t="shared" ref="E5:E13" si="2">D5</f>
        <v>0.23</v>
      </c>
      <c r="F5" s="66">
        <f t="shared" ref="F5:AB5" si="3">E5</f>
        <v>0.23</v>
      </c>
      <c r="G5" s="66">
        <f t="shared" si="3"/>
        <v>0.23</v>
      </c>
      <c r="H5" s="66">
        <f t="shared" si="3"/>
        <v>0.23</v>
      </c>
      <c r="I5" s="66">
        <f t="shared" si="3"/>
        <v>0.23</v>
      </c>
      <c r="J5" s="66">
        <f t="shared" si="3"/>
        <v>0.23</v>
      </c>
      <c r="K5" s="66">
        <f t="shared" si="3"/>
        <v>0.23</v>
      </c>
      <c r="L5" s="66">
        <f t="shared" si="3"/>
        <v>0.23</v>
      </c>
      <c r="M5" s="66">
        <f t="shared" si="3"/>
        <v>0.23</v>
      </c>
      <c r="N5" s="66">
        <f t="shared" si="3"/>
        <v>0.23</v>
      </c>
      <c r="O5" s="66">
        <f t="shared" si="3"/>
        <v>0.23</v>
      </c>
      <c r="P5" s="66">
        <f t="shared" si="3"/>
        <v>0.23</v>
      </c>
      <c r="Q5" s="66">
        <f t="shared" si="3"/>
        <v>0.23</v>
      </c>
      <c r="R5" s="66">
        <f t="shared" si="3"/>
        <v>0.23</v>
      </c>
      <c r="S5" s="66">
        <f t="shared" si="3"/>
        <v>0.23</v>
      </c>
      <c r="T5" s="66">
        <f t="shared" si="3"/>
        <v>0.23</v>
      </c>
      <c r="U5" s="66">
        <f t="shared" si="3"/>
        <v>0.23</v>
      </c>
      <c r="V5" s="66">
        <f t="shared" si="3"/>
        <v>0.23</v>
      </c>
      <c r="W5" s="66">
        <f t="shared" si="3"/>
        <v>0.23</v>
      </c>
      <c r="X5" s="66">
        <f t="shared" si="3"/>
        <v>0.23</v>
      </c>
      <c r="Y5" s="66">
        <f t="shared" si="3"/>
        <v>0.23</v>
      </c>
      <c r="Z5" s="66">
        <f t="shared" si="3"/>
        <v>0.23</v>
      </c>
      <c r="AA5" s="66">
        <f t="shared" si="3"/>
        <v>0.23</v>
      </c>
      <c r="AB5" s="66">
        <f t="shared" si="3"/>
        <v>0.23</v>
      </c>
      <c r="AC5" s="143"/>
      <c r="AD5" s="3"/>
    </row>
    <row r="6" spans="1:30" x14ac:dyDescent="0.3">
      <c r="A6" s="63"/>
      <c r="B6" s="64" t="s">
        <v>63</v>
      </c>
      <c r="C6" s="65" t="s">
        <v>61</v>
      </c>
      <c r="D6" s="66">
        <v>0.1</v>
      </c>
      <c r="E6" s="66">
        <f t="shared" si="2"/>
        <v>0.1</v>
      </c>
      <c r="F6" s="66">
        <f t="shared" ref="F6:AB6" si="4">E6</f>
        <v>0.1</v>
      </c>
      <c r="G6" s="66">
        <f t="shared" si="4"/>
        <v>0.1</v>
      </c>
      <c r="H6" s="66">
        <f t="shared" si="4"/>
        <v>0.1</v>
      </c>
      <c r="I6" s="66">
        <f t="shared" si="4"/>
        <v>0.1</v>
      </c>
      <c r="J6" s="66">
        <f t="shared" si="4"/>
        <v>0.1</v>
      </c>
      <c r="K6" s="66">
        <f t="shared" si="4"/>
        <v>0.1</v>
      </c>
      <c r="L6" s="66">
        <f t="shared" si="4"/>
        <v>0.1</v>
      </c>
      <c r="M6" s="66">
        <f t="shared" si="4"/>
        <v>0.1</v>
      </c>
      <c r="N6" s="66">
        <f t="shared" si="4"/>
        <v>0.1</v>
      </c>
      <c r="O6" s="66">
        <f t="shared" si="4"/>
        <v>0.1</v>
      </c>
      <c r="P6" s="66">
        <f t="shared" si="4"/>
        <v>0.1</v>
      </c>
      <c r="Q6" s="66">
        <f t="shared" si="4"/>
        <v>0.1</v>
      </c>
      <c r="R6" s="66">
        <f t="shared" si="4"/>
        <v>0.1</v>
      </c>
      <c r="S6" s="66">
        <f t="shared" si="4"/>
        <v>0.1</v>
      </c>
      <c r="T6" s="66">
        <f t="shared" si="4"/>
        <v>0.1</v>
      </c>
      <c r="U6" s="66">
        <f t="shared" si="4"/>
        <v>0.1</v>
      </c>
      <c r="V6" s="66">
        <f t="shared" si="4"/>
        <v>0.1</v>
      </c>
      <c r="W6" s="66">
        <f t="shared" si="4"/>
        <v>0.1</v>
      </c>
      <c r="X6" s="66">
        <f t="shared" si="4"/>
        <v>0.1</v>
      </c>
      <c r="Y6" s="66">
        <f t="shared" si="4"/>
        <v>0.1</v>
      </c>
      <c r="Z6" s="66">
        <f t="shared" si="4"/>
        <v>0.1</v>
      </c>
      <c r="AA6" s="66">
        <f t="shared" si="4"/>
        <v>0.1</v>
      </c>
      <c r="AB6" s="66">
        <f t="shared" si="4"/>
        <v>0.1</v>
      </c>
      <c r="AC6" s="143"/>
      <c r="AD6" s="3"/>
    </row>
    <row r="7" spans="1:30" x14ac:dyDescent="0.3">
      <c r="A7" s="63"/>
      <c r="B7" s="64" t="s">
        <v>72</v>
      </c>
      <c r="C7" s="65" t="s">
        <v>61</v>
      </c>
      <c r="D7" s="66">
        <v>7.0000000000000001E-3</v>
      </c>
      <c r="E7" s="66">
        <f t="shared" si="2"/>
        <v>7.0000000000000001E-3</v>
      </c>
      <c r="F7" s="66">
        <f t="shared" ref="F7:AB7" si="5">E7</f>
        <v>7.0000000000000001E-3</v>
      </c>
      <c r="G7" s="66">
        <f t="shared" si="5"/>
        <v>7.0000000000000001E-3</v>
      </c>
      <c r="H7" s="66">
        <f t="shared" si="5"/>
        <v>7.0000000000000001E-3</v>
      </c>
      <c r="I7" s="66">
        <f t="shared" si="5"/>
        <v>7.0000000000000001E-3</v>
      </c>
      <c r="J7" s="66">
        <f t="shared" si="5"/>
        <v>7.0000000000000001E-3</v>
      </c>
      <c r="K7" s="66">
        <f t="shared" si="5"/>
        <v>7.0000000000000001E-3</v>
      </c>
      <c r="L7" s="66">
        <f t="shared" si="5"/>
        <v>7.0000000000000001E-3</v>
      </c>
      <c r="M7" s="66">
        <f t="shared" si="5"/>
        <v>7.0000000000000001E-3</v>
      </c>
      <c r="N7" s="66">
        <f t="shared" si="5"/>
        <v>7.0000000000000001E-3</v>
      </c>
      <c r="O7" s="66">
        <f t="shared" si="5"/>
        <v>7.0000000000000001E-3</v>
      </c>
      <c r="P7" s="66">
        <f t="shared" si="5"/>
        <v>7.0000000000000001E-3</v>
      </c>
      <c r="Q7" s="66">
        <f t="shared" si="5"/>
        <v>7.0000000000000001E-3</v>
      </c>
      <c r="R7" s="66">
        <f t="shared" si="5"/>
        <v>7.0000000000000001E-3</v>
      </c>
      <c r="S7" s="66">
        <f t="shared" si="5"/>
        <v>7.0000000000000001E-3</v>
      </c>
      <c r="T7" s="66">
        <f t="shared" si="5"/>
        <v>7.0000000000000001E-3</v>
      </c>
      <c r="U7" s="66">
        <f t="shared" si="5"/>
        <v>7.0000000000000001E-3</v>
      </c>
      <c r="V7" s="66">
        <f t="shared" si="5"/>
        <v>7.0000000000000001E-3</v>
      </c>
      <c r="W7" s="66">
        <f t="shared" si="5"/>
        <v>7.0000000000000001E-3</v>
      </c>
      <c r="X7" s="66">
        <f t="shared" si="5"/>
        <v>7.0000000000000001E-3</v>
      </c>
      <c r="Y7" s="66">
        <f t="shared" si="5"/>
        <v>7.0000000000000001E-3</v>
      </c>
      <c r="Z7" s="66">
        <f t="shared" si="5"/>
        <v>7.0000000000000001E-3</v>
      </c>
      <c r="AA7" s="66">
        <f t="shared" si="5"/>
        <v>7.0000000000000001E-3</v>
      </c>
      <c r="AB7" s="66">
        <f t="shared" si="5"/>
        <v>7.0000000000000001E-3</v>
      </c>
      <c r="AC7" s="143"/>
      <c r="AD7" s="3"/>
    </row>
    <row r="8" spans="1:30" x14ac:dyDescent="0.3">
      <c r="A8" s="63"/>
      <c r="B8" s="64" t="s">
        <v>167</v>
      </c>
      <c r="C8" s="65" t="s">
        <v>61</v>
      </c>
      <c r="D8" s="66">
        <f>D5</f>
        <v>0.23</v>
      </c>
      <c r="E8" s="66">
        <f>D5*(1-D7)</f>
        <v>0.22839000000000001</v>
      </c>
      <c r="F8" s="66">
        <f t="shared" ref="F8:AB8" si="6">ROUND(E8*(1-E7),4)</f>
        <v>0.2268</v>
      </c>
      <c r="G8" s="66">
        <f t="shared" si="6"/>
        <v>0.22520000000000001</v>
      </c>
      <c r="H8" s="66">
        <f t="shared" si="6"/>
        <v>0.22359999999999999</v>
      </c>
      <c r="I8" s="66">
        <f t="shared" si="6"/>
        <v>0.222</v>
      </c>
      <c r="J8" s="66">
        <f t="shared" si="6"/>
        <v>0.22040000000000001</v>
      </c>
      <c r="K8" s="66">
        <f t="shared" si="6"/>
        <v>0.21890000000000001</v>
      </c>
      <c r="L8" s="66">
        <f t="shared" si="6"/>
        <v>0.21740000000000001</v>
      </c>
      <c r="M8" s="66">
        <f t="shared" si="6"/>
        <v>0.21590000000000001</v>
      </c>
      <c r="N8" s="66">
        <f t="shared" si="6"/>
        <v>0.21440000000000001</v>
      </c>
      <c r="O8" s="66">
        <f t="shared" si="6"/>
        <v>0.21290000000000001</v>
      </c>
      <c r="P8" s="66">
        <f t="shared" si="6"/>
        <v>0.2114</v>
      </c>
      <c r="Q8" s="66">
        <f t="shared" si="6"/>
        <v>0.2099</v>
      </c>
      <c r="R8" s="66">
        <f t="shared" si="6"/>
        <v>0.2084</v>
      </c>
      <c r="S8" s="66">
        <f t="shared" si="6"/>
        <v>0.2069</v>
      </c>
      <c r="T8" s="66">
        <f t="shared" si="6"/>
        <v>0.20549999999999999</v>
      </c>
      <c r="U8" s="66">
        <f t="shared" si="6"/>
        <v>0.2041</v>
      </c>
      <c r="V8" s="66">
        <f t="shared" si="6"/>
        <v>0.20269999999999999</v>
      </c>
      <c r="W8" s="66">
        <f t="shared" si="6"/>
        <v>0.20130000000000001</v>
      </c>
      <c r="X8" s="66">
        <f t="shared" si="6"/>
        <v>0.19989999999999999</v>
      </c>
      <c r="Y8" s="66">
        <f t="shared" si="6"/>
        <v>0.19850000000000001</v>
      </c>
      <c r="Z8" s="66">
        <f t="shared" si="6"/>
        <v>0.1971</v>
      </c>
      <c r="AA8" s="66">
        <f t="shared" si="6"/>
        <v>0.19570000000000001</v>
      </c>
      <c r="AB8" s="66">
        <f t="shared" si="6"/>
        <v>0.1943</v>
      </c>
      <c r="AC8" s="144"/>
      <c r="AD8" s="3"/>
    </row>
    <row r="9" spans="1:30" x14ac:dyDescent="0.3">
      <c r="A9" s="63"/>
      <c r="B9" s="64" t="s">
        <v>34</v>
      </c>
      <c r="C9" s="65" t="s">
        <v>61</v>
      </c>
      <c r="D9" s="66">
        <v>0.14000000000000001</v>
      </c>
      <c r="E9" s="66">
        <f t="shared" si="2"/>
        <v>0.14000000000000001</v>
      </c>
      <c r="F9" s="66">
        <f t="shared" ref="F9:AB9" si="7">E9</f>
        <v>0.14000000000000001</v>
      </c>
      <c r="G9" s="66">
        <f t="shared" si="7"/>
        <v>0.14000000000000001</v>
      </c>
      <c r="H9" s="66">
        <f t="shared" si="7"/>
        <v>0.14000000000000001</v>
      </c>
      <c r="I9" s="66">
        <f t="shared" si="7"/>
        <v>0.14000000000000001</v>
      </c>
      <c r="J9" s="66">
        <f t="shared" si="7"/>
        <v>0.14000000000000001</v>
      </c>
      <c r="K9" s="66">
        <f t="shared" si="7"/>
        <v>0.14000000000000001</v>
      </c>
      <c r="L9" s="66">
        <f t="shared" si="7"/>
        <v>0.14000000000000001</v>
      </c>
      <c r="M9" s="66">
        <f t="shared" si="7"/>
        <v>0.14000000000000001</v>
      </c>
      <c r="N9" s="66">
        <v>0.14000000000000001</v>
      </c>
      <c r="O9" s="66">
        <f t="shared" si="7"/>
        <v>0.14000000000000001</v>
      </c>
      <c r="P9" s="66">
        <f t="shared" si="7"/>
        <v>0.14000000000000001</v>
      </c>
      <c r="Q9" s="66">
        <f t="shared" si="7"/>
        <v>0.14000000000000001</v>
      </c>
      <c r="R9" s="66">
        <f t="shared" si="7"/>
        <v>0.14000000000000001</v>
      </c>
      <c r="S9" s="66">
        <f t="shared" si="7"/>
        <v>0.14000000000000001</v>
      </c>
      <c r="T9" s="66">
        <f t="shared" si="7"/>
        <v>0.14000000000000001</v>
      </c>
      <c r="U9" s="66">
        <f t="shared" si="7"/>
        <v>0.14000000000000001</v>
      </c>
      <c r="V9" s="66">
        <f t="shared" si="7"/>
        <v>0.14000000000000001</v>
      </c>
      <c r="W9" s="66">
        <f t="shared" si="7"/>
        <v>0.14000000000000001</v>
      </c>
      <c r="X9" s="66">
        <f t="shared" si="7"/>
        <v>0.14000000000000001</v>
      </c>
      <c r="Y9" s="66">
        <f t="shared" si="7"/>
        <v>0.14000000000000001</v>
      </c>
      <c r="Z9" s="66">
        <f t="shared" si="7"/>
        <v>0.14000000000000001</v>
      </c>
      <c r="AA9" s="66">
        <f t="shared" si="7"/>
        <v>0.14000000000000001</v>
      </c>
      <c r="AB9" s="66">
        <f t="shared" si="7"/>
        <v>0.14000000000000001</v>
      </c>
      <c r="AC9" s="142"/>
    </row>
    <row r="10" spans="1:30" x14ac:dyDescent="0.3">
      <c r="A10" s="63"/>
      <c r="B10" s="64" t="s">
        <v>199</v>
      </c>
      <c r="C10" s="65" t="s">
        <v>61</v>
      </c>
      <c r="D10" s="66">
        <f>IF(D14&lt;=10,'Cost Requirement'!$K$20,'Cost Requirement'!$K$19)</f>
        <v>0.21340000000000001</v>
      </c>
      <c r="E10" s="66">
        <f>IF(E14&lt;=10,'Cost Requirement'!$K$20,'Cost Requirement'!$K$19)</f>
        <v>0.21340000000000001</v>
      </c>
      <c r="F10" s="66">
        <f>IF(F14&lt;=10,'Cost Requirement'!$K$20,'Cost Requirement'!$K$19)</f>
        <v>0.21340000000000001</v>
      </c>
      <c r="G10" s="66">
        <f>IF(G14&lt;=10,'Cost Requirement'!$K$20,'Cost Requirement'!$K$19)</f>
        <v>0.21340000000000001</v>
      </c>
      <c r="H10" s="66">
        <f>IF(H14&lt;=10,'Cost Requirement'!$K$20,'Cost Requirement'!$K$19)</f>
        <v>0.21340000000000001</v>
      </c>
      <c r="I10" s="66">
        <f>IF(I14&lt;=10,'Cost Requirement'!$K$20,'Cost Requirement'!$K$19)</f>
        <v>0.21340000000000001</v>
      </c>
      <c r="J10" s="66">
        <f>IF(J14&lt;=10,'Cost Requirement'!$K$20,'Cost Requirement'!$K$19)</f>
        <v>0.21340000000000001</v>
      </c>
      <c r="K10" s="66">
        <f>IF(K14&lt;=10,'Cost Requirement'!$K$20,'Cost Requirement'!$K$19)</f>
        <v>0.21340000000000001</v>
      </c>
      <c r="L10" s="66">
        <f>IF(L14&lt;=10,'Cost Requirement'!$K$20,'Cost Requirement'!$K$19)</f>
        <v>0.21340000000000001</v>
      </c>
      <c r="M10" s="66">
        <f>IF(M14&lt;=10,'Cost Requirement'!$K$20,'Cost Requirement'!$K$19)</f>
        <v>0.21340000000000001</v>
      </c>
      <c r="N10" s="66">
        <v>0.34610000000000002</v>
      </c>
      <c r="O10" s="66">
        <f>IF(O14&lt;=10,'Cost Requirement'!$K$20,'Cost Requirement'!$K$19)</f>
        <v>0.34610000000000002</v>
      </c>
      <c r="P10" s="66">
        <f>IF(P14&lt;=10,'Cost Requirement'!$K$20,'Cost Requirement'!$K$19)</f>
        <v>0.34610000000000002</v>
      </c>
      <c r="Q10" s="66">
        <f>IF(Q14&lt;=10,'Cost Requirement'!$K$20,'Cost Requirement'!$K$19)</f>
        <v>0.34610000000000002</v>
      </c>
      <c r="R10" s="66">
        <f>IF(R14&lt;=10,'Cost Requirement'!$K$20,'Cost Requirement'!$K$19)</f>
        <v>0.34610000000000002</v>
      </c>
      <c r="S10" s="66">
        <f>IF(S14&lt;=10,'Cost Requirement'!$K$20,'Cost Requirement'!$K$19)</f>
        <v>0.34610000000000002</v>
      </c>
      <c r="T10" s="66">
        <f>IF(T14&lt;=10,'Cost Requirement'!$K$20,'Cost Requirement'!$K$19)</f>
        <v>0.34610000000000002</v>
      </c>
      <c r="U10" s="66">
        <f>IF(U14&lt;=10,'Cost Requirement'!$K$20,'Cost Requirement'!$K$19)</f>
        <v>0.34610000000000002</v>
      </c>
      <c r="V10" s="66">
        <f>IF(V14&lt;=10,'Cost Requirement'!$K$20,'Cost Requirement'!$K$19)</f>
        <v>0.34610000000000002</v>
      </c>
      <c r="W10" s="66">
        <f>IF(W14&lt;=10,'Cost Requirement'!$K$20,'Cost Requirement'!$K$19)</f>
        <v>0.34610000000000002</v>
      </c>
      <c r="X10" s="66">
        <f>IF(X14&lt;=10,'Cost Requirement'!$K$20,'Cost Requirement'!$K$19)</f>
        <v>0.34610000000000002</v>
      </c>
      <c r="Y10" s="66">
        <f>IF(Y14&lt;=10,'Cost Requirement'!$K$20,'Cost Requirement'!$K$19)</f>
        <v>0.34610000000000002</v>
      </c>
      <c r="Z10" s="66">
        <f>IF(Z14&lt;=10,'Cost Requirement'!$K$20,'Cost Requirement'!$K$19)</f>
        <v>0.34610000000000002</v>
      </c>
      <c r="AA10" s="66">
        <f>IF(AA14&lt;=10,'Cost Requirement'!$K$20,'Cost Requirement'!$K$19)</f>
        <v>0.34610000000000002</v>
      </c>
      <c r="AB10" s="66">
        <f>IF(AB14&lt;=10,'Cost Requirement'!$K$20,'Cost Requirement'!$K$19)</f>
        <v>0.34610000000000002</v>
      </c>
      <c r="AC10" s="142"/>
    </row>
    <row r="11" spans="1:30" x14ac:dyDescent="0.3">
      <c r="A11" s="63"/>
      <c r="B11" s="64" t="s">
        <v>64</v>
      </c>
      <c r="C11" s="65" t="s">
        <v>65</v>
      </c>
      <c r="D11" s="65">
        <v>8766</v>
      </c>
      <c r="E11" s="65">
        <f t="shared" si="2"/>
        <v>8766</v>
      </c>
      <c r="F11" s="65">
        <f t="shared" ref="F11:AB11" si="8">E11</f>
        <v>8766</v>
      </c>
      <c r="G11" s="65">
        <f t="shared" si="8"/>
        <v>8766</v>
      </c>
      <c r="H11" s="65">
        <f t="shared" si="8"/>
        <v>8766</v>
      </c>
      <c r="I11" s="65">
        <f t="shared" si="8"/>
        <v>8766</v>
      </c>
      <c r="J11" s="65">
        <f t="shared" si="8"/>
        <v>8766</v>
      </c>
      <c r="K11" s="65">
        <f t="shared" si="8"/>
        <v>8766</v>
      </c>
      <c r="L11" s="65">
        <f t="shared" si="8"/>
        <v>8766</v>
      </c>
      <c r="M11" s="65">
        <f t="shared" si="8"/>
        <v>8766</v>
      </c>
      <c r="N11" s="65">
        <f t="shared" si="8"/>
        <v>8766</v>
      </c>
      <c r="O11" s="65">
        <f t="shared" si="8"/>
        <v>8766</v>
      </c>
      <c r="P11" s="65">
        <f t="shared" si="8"/>
        <v>8766</v>
      </c>
      <c r="Q11" s="65">
        <f t="shared" si="8"/>
        <v>8766</v>
      </c>
      <c r="R11" s="65">
        <f t="shared" si="8"/>
        <v>8766</v>
      </c>
      <c r="S11" s="65">
        <f t="shared" si="8"/>
        <v>8766</v>
      </c>
      <c r="T11" s="65">
        <f t="shared" si="8"/>
        <v>8766</v>
      </c>
      <c r="U11" s="65">
        <f t="shared" si="8"/>
        <v>8766</v>
      </c>
      <c r="V11" s="65">
        <f t="shared" si="8"/>
        <v>8766</v>
      </c>
      <c r="W11" s="65">
        <f t="shared" si="8"/>
        <v>8766</v>
      </c>
      <c r="X11" s="65">
        <f t="shared" si="8"/>
        <v>8766</v>
      </c>
      <c r="Y11" s="65">
        <f t="shared" si="8"/>
        <v>8766</v>
      </c>
      <c r="Z11" s="65">
        <f t="shared" si="8"/>
        <v>8766</v>
      </c>
      <c r="AA11" s="65">
        <f t="shared" si="8"/>
        <v>8766</v>
      </c>
      <c r="AB11" s="65">
        <f t="shared" si="8"/>
        <v>8766</v>
      </c>
      <c r="AC11" s="142"/>
    </row>
    <row r="12" spans="1:30" x14ac:dyDescent="0.3">
      <c r="A12" s="63"/>
      <c r="B12" s="64" t="s">
        <v>67</v>
      </c>
      <c r="C12" s="65" t="s">
        <v>61</v>
      </c>
      <c r="D12" s="66">
        <v>7.1999999999999995E-2</v>
      </c>
      <c r="E12" s="66">
        <f t="shared" si="2"/>
        <v>7.1999999999999995E-2</v>
      </c>
      <c r="F12" s="66">
        <f t="shared" ref="F12:AB13" si="9">E12</f>
        <v>7.1999999999999995E-2</v>
      </c>
      <c r="G12" s="66">
        <f t="shared" si="9"/>
        <v>7.1999999999999995E-2</v>
      </c>
      <c r="H12" s="66">
        <f t="shared" si="9"/>
        <v>7.1999999999999995E-2</v>
      </c>
      <c r="I12" s="66">
        <f t="shared" si="9"/>
        <v>7.1999999999999995E-2</v>
      </c>
      <c r="J12" s="66">
        <f t="shared" si="9"/>
        <v>7.1999999999999995E-2</v>
      </c>
      <c r="K12" s="66">
        <f t="shared" si="9"/>
        <v>7.1999999999999995E-2</v>
      </c>
      <c r="L12" s="66">
        <f t="shared" si="9"/>
        <v>7.1999999999999995E-2</v>
      </c>
      <c r="M12" s="66">
        <f t="shared" si="9"/>
        <v>7.1999999999999995E-2</v>
      </c>
      <c r="N12" s="66">
        <f t="shared" si="9"/>
        <v>7.1999999999999995E-2</v>
      </c>
      <c r="O12" s="66">
        <f t="shared" si="9"/>
        <v>7.1999999999999995E-2</v>
      </c>
      <c r="P12" s="66">
        <f t="shared" si="9"/>
        <v>7.1999999999999995E-2</v>
      </c>
      <c r="Q12" s="66">
        <f t="shared" si="9"/>
        <v>7.1999999999999995E-2</v>
      </c>
      <c r="R12" s="66">
        <f t="shared" si="9"/>
        <v>7.1999999999999995E-2</v>
      </c>
      <c r="S12" s="66">
        <f t="shared" si="9"/>
        <v>7.1999999999999995E-2</v>
      </c>
      <c r="T12" s="66">
        <f t="shared" si="9"/>
        <v>7.1999999999999995E-2</v>
      </c>
      <c r="U12" s="66">
        <f t="shared" si="9"/>
        <v>7.1999999999999995E-2</v>
      </c>
      <c r="V12" s="66">
        <f t="shared" si="9"/>
        <v>7.1999999999999995E-2</v>
      </c>
      <c r="W12" s="66">
        <f t="shared" si="9"/>
        <v>7.1999999999999995E-2</v>
      </c>
      <c r="X12" s="66">
        <f t="shared" si="9"/>
        <v>7.1999999999999995E-2</v>
      </c>
      <c r="Y12" s="66">
        <f t="shared" si="9"/>
        <v>7.1999999999999995E-2</v>
      </c>
      <c r="Z12" s="66">
        <f t="shared" si="9"/>
        <v>7.1999999999999995E-2</v>
      </c>
      <c r="AA12" s="66">
        <f t="shared" si="9"/>
        <v>7.1999999999999995E-2</v>
      </c>
      <c r="AB12" s="66">
        <f t="shared" si="9"/>
        <v>7.1999999999999995E-2</v>
      </c>
      <c r="AC12" s="142"/>
    </row>
    <row r="13" spans="1:30" x14ac:dyDescent="0.3">
      <c r="A13" s="63"/>
      <c r="B13" s="64" t="s">
        <v>70</v>
      </c>
      <c r="C13" s="65" t="s">
        <v>61</v>
      </c>
      <c r="D13" s="66">
        <v>0.1166</v>
      </c>
      <c r="E13" s="66">
        <f t="shared" si="2"/>
        <v>0.1166</v>
      </c>
      <c r="F13" s="66">
        <f t="shared" si="9"/>
        <v>0.1166</v>
      </c>
      <c r="G13" s="66">
        <f t="shared" si="9"/>
        <v>0.1166</v>
      </c>
      <c r="H13" s="66">
        <f t="shared" si="9"/>
        <v>0.1166</v>
      </c>
      <c r="I13" s="66">
        <f t="shared" si="9"/>
        <v>0.1166</v>
      </c>
      <c r="J13" s="66">
        <f t="shared" si="9"/>
        <v>0.1166</v>
      </c>
      <c r="K13" s="66">
        <f t="shared" si="9"/>
        <v>0.1166</v>
      </c>
      <c r="L13" s="66">
        <f t="shared" si="9"/>
        <v>0.1166</v>
      </c>
      <c r="M13" s="66">
        <f t="shared" si="9"/>
        <v>0.1166</v>
      </c>
      <c r="N13" s="66">
        <f t="shared" si="9"/>
        <v>0.1166</v>
      </c>
      <c r="O13" s="66">
        <f t="shared" si="9"/>
        <v>0.1166</v>
      </c>
      <c r="P13" s="66">
        <f t="shared" si="9"/>
        <v>0.1166</v>
      </c>
      <c r="Q13" s="66">
        <f t="shared" si="9"/>
        <v>0.1166</v>
      </c>
      <c r="R13" s="66">
        <f t="shared" si="9"/>
        <v>0.1166</v>
      </c>
      <c r="S13" s="66">
        <f t="shared" si="9"/>
        <v>0.1166</v>
      </c>
      <c r="T13" s="66">
        <f t="shared" si="9"/>
        <v>0.1166</v>
      </c>
      <c r="U13" s="66">
        <f t="shared" si="9"/>
        <v>0.1166</v>
      </c>
      <c r="V13" s="66">
        <f t="shared" si="9"/>
        <v>0.1166</v>
      </c>
      <c r="W13" s="66">
        <f t="shared" si="9"/>
        <v>0.1166</v>
      </c>
      <c r="X13" s="66">
        <f t="shared" si="9"/>
        <v>0.1166</v>
      </c>
      <c r="Y13" s="66">
        <f t="shared" si="9"/>
        <v>0.1166</v>
      </c>
      <c r="Z13" s="66">
        <f t="shared" si="9"/>
        <v>0.1166</v>
      </c>
      <c r="AA13" s="66">
        <f t="shared" si="9"/>
        <v>0.1166</v>
      </c>
      <c r="AB13" s="66">
        <f t="shared" si="9"/>
        <v>0.1166</v>
      </c>
      <c r="AC13" s="142"/>
    </row>
    <row r="14" spans="1:30" x14ac:dyDescent="0.3">
      <c r="A14" s="63"/>
      <c r="B14" s="64" t="s">
        <v>71</v>
      </c>
      <c r="C14" s="65" t="s">
        <v>22</v>
      </c>
      <c r="D14" s="67">
        <v>1</v>
      </c>
      <c r="E14" s="67">
        <v>2</v>
      </c>
      <c r="F14" s="67">
        <v>3</v>
      </c>
      <c r="G14" s="67">
        <v>4</v>
      </c>
      <c r="H14" s="67">
        <v>5</v>
      </c>
      <c r="I14" s="67">
        <v>6</v>
      </c>
      <c r="J14" s="67">
        <v>7</v>
      </c>
      <c r="K14" s="67">
        <v>8</v>
      </c>
      <c r="L14" s="67">
        <v>9</v>
      </c>
      <c r="M14" s="67">
        <v>10</v>
      </c>
      <c r="N14" s="67">
        <v>11</v>
      </c>
      <c r="O14" s="67">
        <v>12</v>
      </c>
      <c r="P14" s="67">
        <v>13</v>
      </c>
      <c r="Q14" s="67">
        <v>14</v>
      </c>
      <c r="R14" s="67">
        <v>15</v>
      </c>
      <c r="S14" s="67">
        <v>16</v>
      </c>
      <c r="T14" s="67">
        <v>17</v>
      </c>
      <c r="U14" s="67">
        <v>18</v>
      </c>
      <c r="V14" s="67">
        <v>19</v>
      </c>
      <c r="W14" s="67">
        <v>20</v>
      </c>
      <c r="X14" s="67">
        <v>21</v>
      </c>
      <c r="Y14" s="67">
        <v>22</v>
      </c>
      <c r="Z14" s="67">
        <v>23</v>
      </c>
      <c r="AA14" s="67">
        <v>24</v>
      </c>
      <c r="AB14" s="67">
        <v>25</v>
      </c>
      <c r="AC14" s="142"/>
    </row>
    <row r="15" spans="1:30" x14ac:dyDescent="0.3">
      <c r="A15" s="63"/>
      <c r="B15" s="64" t="s">
        <v>68</v>
      </c>
      <c r="C15" s="65" t="s">
        <v>69</v>
      </c>
      <c r="D15" s="67">
        <v>2</v>
      </c>
      <c r="E15" s="67">
        <f t="shared" ref="E15:AB15" si="10">D15</f>
        <v>2</v>
      </c>
      <c r="F15" s="67">
        <f t="shared" si="10"/>
        <v>2</v>
      </c>
      <c r="G15" s="67">
        <f t="shared" si="10"/>
        <v>2</v>
      </c>
      <c r="H15" s="67">
        <f t="shared" si="10"/>
        <v>2</v>
      </c>
      <c r="I15" s="67">
        <f t="shared" si="10"/>
        <v>2</v>
      </c>
      <c r="J15" s="67">
        <f t="shared" si="10"/>
        <v>2</v>
      </c>
      <c r="K15" s="67">
        <f t="shared" si="10"/>
        <v>2</v>
      </c>
      <c r="L15" s="67">
        <f t="shared" si="10"/>
        <v>2</v>
      </c>
      <c r="M15" s="67">
        <f t="shared" si="10"/>
        <v>2</v>
      </c>
      <c r="N15" s="67">
        <f t="shared" si="10"/>
        <v>2</v>
      </c>
      <c r="O15" s="67">
        <f t="shared" si="10"/>
        <v>2</v>
      </c>
      <c r="P15" s="67">
        <f t="shared" si="10"/>
        <v>2</v>
      </c>
      <c r="Q15" s="67">
        <f t="shared" si="10"/>
        <v>2</v>
      </c>
      <c r="R15" s="67">
        <f t="shared" si="10"/>
        <v>2</v>
      </c>
      <c r="S15" s="67">
        <f t="shared" si="10"/>
        <v>2</v>
      </c>
      <c r="T15" s="67">
        <f t="shared" si="10"/>
        <v>2</v>
      </c>
      <c r="U15" s="67">
        <f t="shared" si="10"/>
        <v>2</v>
      </c>
      <c r="V15" s="67">
        <f t="shared" si="10"/>
        <v>2</v>
      </c>
      <c r="W15" s="67">
        <f t="shared" si="10"/>
        <v>2</v>
      </c>
      <c r="X15" s="67">
        <f t="shared" si="10"/>
        <v>2</v>
      </c>
      <c r="Y15" s="67">
        <f t="shared" si="10"/>
        <v>2</v>
      </c>
      <c r="Z15" s="67">
        <f t="shared" si="10"/>
        <v>2</v>
      </c>
      <c r="AA15" s="67">
        <f t="shared" si="10"/>
        <v>2</v>
      </c>
      <c r="AB15" s="67">
        <f t="shared" si="10"/>
        <v>2</v>
      </c>
      <c r="AC15" s="142"/>
    </row>
    <row r="16" spans="1:30" x14ac:dyDescent="0.3">
      <c r="A16" s="63"/>
      <c r="B16" s="64" t="s">
        <v>141</v>
      </c>
      <c r="C16" s="65" t="s">
        <v>69</v>
      </c>
      <c r="D16" s="67">
        <v>1</v>
      </c>
      <c r="E16" s="67">
        <f>D16</f>
        <v>1</v>
      </c>
      <c r="F16" s="67">
        <f t="shared" ref="F16:AB17" si="11">E16</f>
        <v>1</v>
      </c>
      <c r="G16" s="67">
        <f t="shared" si="11"/>
        <v>1</v>
      </c>
      <c r="H16" s="67">
        <f t="shared" si="11"/>
        <v>1</v>
      </c>
      <c r="I16" s="67">
        <f t="shared" si="11"/>
        <v>1</v>
      </c>
      <c r="J16" s="67">
        <f t="shared" si="11"/>
        <v>1</v>
      </c>
      <c r="K16" s="67">
        <f t="shared" si="11"/>
        <v>1</v>
      </c>
      <c r="L16" s="67">
        <f t="shared" si="11"/>
        <v>1</v>
      </c>
      <c r="M16" s="67">
        <f t="shared" si="11"/>
        <v>1</v>
      </c>
      <c r="N16" s="67">
        <f t="shared" si="11"/>
        <v>1</v>
      </c>
      <c r="O16" s="67">
        <f t="shared" si="11"/>
        <v>1</v>
      </c>
      <c r="P16" s="67">
        <f t="shared" si="11"/>
        <v>1</v>
      </c>
      <c r="Q16" s="67">
        <f t="shared" si="11"/>
        <v>1</v>
      </c>
      <c r="R16" s="67">
        <f t="shared" si="11"/>
        <v>1</v>
      </c>
      <c r="S16" s="67">
        <f t="shared" si="11"/>
        <v>1</v>
      </c>
      <c r="T16" s="67">
        <f t="shared" si="11"/>
        <v>1</v>
      </c>
      <c r="U16" s="67">
        <f t="shared" si="11"/>
        <v>1</v>
      </c>
      <c r="V16" s="67">
        <f t="shared" si="11"/>
        <v>1</v>
      </c>
      <c r="W16" s="67">
        <f t="shared" si="11"/>
        <v>1</v>
      </c>
      <c r="X16" s="67">
        <f t="shared" si="11"/>
        <v>1</v>
      </c>
      <c r="Y16" s="67">
        <f t="shared" si="11"/>
        <v>1</v>
      </c>
      <c r="Z16" s="67">
        <f t="shared" si="11"/>
        <v>1</v>
      </c>
      <c r="AA16" s="67">
        <f t="shared" si="11"/>
        <v>1</v>
      </c>
      <c r="AB16" s="67">
        <f t="shared" si="11"/>
        <v>1</v>
      </c>
      <c r="AC16" s="142"/>
    </row>
    <row r="17" spans="1:29" x14ac:dyDescent="0.3">
      <c r="A17" s="63"/>
      <c r="B17" s="64" t="s">
        <v>5</v>
      </c>
      <c r="C17" s="65" t="s">
        <v>61</v>
      </c>
      <c r="D17" s="66">
        <v>0.15</v>
      </c>
      <c r="E17" s="66">
        <f>D17</f>
        <v>0.15</v>
      </c>
      <c r="F17" s="66">
        <f t="shared" si="11"/>
        <v>0.15</v>
      </c>
      <c r="G17" s="66">
        <f t="shared" si="11"/>
        <v>0.15</v>
      </c>
      <c r="H17" s="66">
        <f t="shared" si="11"/>
        <v>0.15</v>
      </c>
      <c r="I17" s="66">
        <f t="shared" si="11"/>
        <v>0.15</v>
      </c>
      <c r="J17" s="66">
        <f t="shared" si="11"/>
        <v>0.15</v>
      </c>
      <c r="K17" s="66">
        <f t="shared" si="11"/>
        <v>0.15</v>
      </c>
      <c r="L17" s="66">
        <f t="shared" si="11"/>
        <v>0.15</v>
      </c>
      <c r="M17" s="66">
        <f t="shared" si="11"/>
        <v>0.15</v>
      </c>
      <c r="N17" s="66">
        <f t="shared" si="11"/>
        <v>0.15</v>
      </c>
      <c r="O17" s="66">
        <f t="shared" si="11"/>
        <v>0.15</v>
      </c>
      <c r="P17" s="66">
        <f t="shared" si="11"/>
        <v>0.15</v>
      </c>
      <c r="Q17" s="66">
        <f t="shared" si="11"/>
        <v>0.15</v>
      </c>
      <c r="R17" s="66">
        <f t="shared" si="11"/>
        <v>0.15</v>
      </c>
      <c r="S17" s="66">
        <f t="shared" si="11"/>
        <v>0.15</v>
      </c>
      <c r="T17" s="66">
        <f t="shared" si="11"/>
        <v>0.15</v>
      </c>
      <c r="U17" s="66">
        <f t="shared" si="11"/>
        <v>0.15</v>
      </c>
      <c r="V17" s="66">
        <f t="shared" si="11"/>
        <v>0.15</v>
      </c>
      <c r="W17" s="66">
        <f t="shared" si="11"/>
        <v>0.15</v>
      </c>
      <c r="X17" s="66">
        <f t="shared" si="11"/>
        <v>0.15</v>
      </c>
      <c r="Y17" s="66">
        <f t="shared" si="11"/>
        <v>0.15</v>
      </c>
      <c r="Z17" s="66">
        <f t="shared" si="11"/>
        <v>0.15</v>
      </c>
      <c r="AA17" s="66">
        <f t="shared" si="11"/>
        <v>0.15</v>
      </c>
      <c r="AB17" s="66">
        <f t="shared" si="11"/>
        <v>0.15</v>
      </c>
      <c r="AC17" s="142"/>
    </row>
    <row r="18" spans="1:29" x14ac:dyDescent="0.3">
      <c r="A18" s="63"/>
      <c r="B18" s="64" t="s">
        <v>66</v>
      </c>
      <c r="C18" s="65" t="s">
        <v>61</v>
      </c>
      <c r="D18" s="66">
        <v>5.7200000000000001E-2</v>
      </c>
      <c r="E18" s="66">
        <f>D18</f>
        <v>5.7200000000000001E-2</v>
      </c>
      <c r="F18" s="66">
        <f t="shared" ref="F18:AB19" si="12">E18</f>
        <v>5.7200000000000001E-2</v>
      </c>
      <c r="G18" s="66">
        <f t="shared" si="12"/>
        <v>5.7200000000000001E-2</v>
      </c>
      <c r="H18" s="66">
        <f t="shared" si="12"/>
        <v>5.7200000000000001E-2</v>
      </c>
      <c r="I18" s="66">
        <v>5.7200000000000001E-2</v>
      </c>
      <c r="J18" s="66">
        <f t="shared" si="12"/>
        <v>5.7200000000000001E-2</v>
      </c>
      <c r="K18" s="66">
        <f t="shared" si="12"/>
        <v>5.7200000000000001E-2</v>
      </c>
      <c r="L18" s="66">
        <f t="shared" si="12"/>
        <v>5.7200000000000001E-2</v>
      </c>
      <c r="M18" s="66">
        <f t="shared" si="12"/>
        <v>5.7200000000000001E-2</v>
      </c>
      <c r="N18" s="66">
        <f t="shared" si="12"/>
        <v>5.7200000000000001E-2</v>
      </c>
      <c r="O18" s="66">
        <f t="shared" si="12"/>
        <v>5.7200000000000001E-2</v>
      </c>
      <c r="P18" s="66">
        <f t="shared" si="12"/>
        <v>5.7200000000000001E-2</v>
      </c>
      <c r="Q18" s="66">
        <f t="shared" si="12"/>
        <v>5.7200000000000001E-2</v>
      </c>
      <c r="R18" s="66">
        <f t="shared" si="12"/>
        <v>5.7200000000000001E-2</v>
      </c>
      <c r="S18" s="66">
        <f t="shared" si="12"/>
        <v>5.7200000000000001E-2</v>
      </c>
      <c r="T18" s="66">
        <f t="shared" si="12"/>
        <v>5.7200000000000001E-2</v>
      </c>
      <c r="U18" s="66">
        <f t="shared" si="12"/>
        <v>5.7200000000000001E-2</v>
      </c>
      <c r="V18" s="66">
        <f t="shared" si="12"/>
        <v>5.7200000000000001E-2</v>
      </c>
      <c r="W18" s="66">
        <f t="shared" si="12"/>
        <v>5.7200000000000001E-2</v>
      </c>
      <c r="X18" s="66">
        <f t="shared" si="12"/>
        <v>5.7200000000000001E-2</v>
      </c>
      <c r="Y18" s="66">
        <f t="shared" si="12"/>
        <v>5.7200000000000001E-2</v>
      </c>
      <c r="Z18" s="66">
        <f t="shared" si="12"/>
        <v>5.7200000000000001E-2</v>
      </c>
      <c r="AA18" s="66">
        <f t="shared" si="12"/>
        <v>5.7200000000000001E-2</v>
      </c>
      <c r="AB18" s="66">
        <f t="shared" si="12"/>
        <v>5.7200000000000001E-2</v>
      </c>
      <c r="AC18" s="142"/>
    </row>
    <row r="19" spans="1:29" x14ac:dyDescent="0.3">
      <c r="A19" s="63"/>
      <c r="B19" s="64" t="s">
        <v>73</v>
      </c>
      <c r="C19" s="65" t="s">
        <v>10</v>
      </c>
      <c r="D19" s="68">
        <v>3.5</v>
      </c>
      <c r="E19" s="68">
        <v>3.7001999999999997</v>
      </c>
      <c r="F19" s="68">
        <v>3.9118514399999995</v>
      </c>
      <c r="G19" s="68">
        <v>4.1356093423679994</v>
      </c>
      <c r="H19" s="68">
        <v>4.3721661967514489</v>
      </c>
      <c r="I19" s="68">
        <v>6</v>
      </c>
      <c r="J19" s="68">
        <f>I19</f>
        <v>6</v>
      </c>
      <c r="K19" s="68">
        <f t="shared" si="12"/>
        <v>6</v>
      </c>
      <c r="L19" s="68">
        <f t="shared" si="12"/>
        <v>6</v>
      </c>
      <c r="M19" s="68">
        <f t="shared" si="12"/>
        <v>6</v>
      </c>
      <c r="N19" s="68">
        <f t="shared" si="12"/>
        <v>6</v>
      </c>
      <c r="O19" s="68">
        <f t="shared" si="12"/>
        <v>6</v>
      </c>
      <c r="P19" s="68">
        <f t="shared" si="12"/>
        <v>6</v>
      </c>
      <c r="Q19" s="68">
        <f t="shared" si="12"/>
        <v>6</v>
      </c>
      <c r="R19" s="68">
        <f t="shared" si="12"/>
        <v>6</v>
      </c>
      <c r="S19" s="68">
        <f t="shared" si="12"/>
        <v>6</v>
      </c>
      <c r="T19" s="68">
        <f t="shared" si="12"/>
        <v>6</v>
      </c>
      <c r="U19" s="68">
        <f t="shared" si="12"/>
        <v>6</v>
      </c>
      <c r="V19" s="68">
        <f t="shared" si="12"/>
        <v>6</v>
      </c>
      <c r="W19" s="68">
        <f t="shared" si="12"/>
        <v>6</v>
      </c>
      <c r="X19" s="68">
        <f t="shared" si="12"/>
        <v>6</v>
      </c>
      <c r="Y19" s="68">
        <f t="shared" si="12"/>
        <v>6</v>
      </c>
      <c r="Z19" s="68">
        <f t="shared" si="12"/>
        <v>6</v>
      </c>
      <c r="AA19" s="68">
        <f t="shared" si="12"/>
        <v>6</v>
      </c>
      <c r="AB19" s="68">
        <f t="shared" si="12"/>
        <v>6</v>
      </c>
      <c r="AC19" s="142"/>
    </row>
    <row r="20" spans="1:29" x14ac:dyDescent="0.3">
      <c r="A20" s="63"/>
      <c r="B20" s="64" t="s">
        <v>134</v>
      </c>
      <c r="C20" s="65" t="s">
        <v>10</v>
      </c>
      <c r="D20" s="68">
        <f>(1.63+10*365/10^5)*1.15</f>
        <v>1.9164749999999997</v>
      </c>
      <c r="E20" s="68">
        <f>(1.63+10*365/10^5)*1.15</f>
        <v>1.9164749999999997</v>
      </c>
      <c r="F20" s="68">
        <f>(1.63+10*365/10^5)*1.15*1.05</f>
        <v>2.0122987499999998</v>
      </c>
      <c r="G20" s="68">
        <f>(1.63+10*365/10^5)*1.15*1.05</f>
        <v>2.0122987499999998</v>
      </c>
      <c r="H20" s="68">
        <f>(1.63+10*365/10^5)*1.15*1.05*1.05</f>
        <v>2.1129136874999999</v>
      </c>
      <c r="I20" s="68">
        <f>(1.63+10*365/10^5)*1.15*1.05*1.05</f>
        <v>2.1129136874999999</v>
      </c>
      <c r="J20" s="68">
        <f>(1.63+10*365/10^5)*1.15*1.05*1.05*1.05</f>
        <v>2.2185593718750001</v>
      </c>
      <c r="K20" s="68">
        <f t="shared" ref="K20:AB20" si="13">(1.63+10*365/10^5)*1.15*1.05*1.05*1.05</f>
        <v>2.2185593718750001</v>
      </c>
      <c r="L20" s="68">
        <f t="shared" si="13"/>
        <v>2.2185593718750001</v>
      </c>
      <c r="M20" s="68">
        <f t="shared" si="13"/>
        <v>2.2185593718750001</v>
      </c>
      <c r="N20" s="68">
        <f t="shared" si="13"/>
        <v>2.2185593718750001</v>
      </c>
      <c r="O20" s="68">
        <f t="shared" si="13"/>
        <v>2.2185593718750001</v>
      </c>
      <c r="P20" s="68">
        <f t="shared" si="13"/>
        <v>2.2185593718750001</v>
      </c>
      <c r="Q20" s="68">
        <f t="shared" si="13"/>
        <v>2.2185593718750001</v>
      </c>
      <c r="R20" s="68">
        <f t="shared" si="13"/>
        <v>2.2185593718750001</v>
      </c>
      <c r="S20" s="68">
        <f t="shared" si="13"/>
        <v>2.2185593718750001</v>
      </c>
      <c r="T20" s="68">
        <f t="shared" si="13"/>
        <v>2.2185593718750001</v>
      </c>
      <c r="U20" s="68">
        <f t="shared" si="13"/>
        <v>2.2185593718750001</v>
      </c>
      <c r="V20" s="68">
        <f t="shared" si="13"/>
        <v>2.2185593718750001</v>
      </c>
      <c r="W20" s="68">
        <f t="shared" si="13"/>
        <v>2.2185593718750001</v>
      </c>
      <c r="X20" s="68">
        <f t="shared" si="13"/>
        <v>2.2185593718750001</v>
      </c>
      <c r="Y20" s="68">
        <f t="shared" si="13"/>
        <v>2.2185593718750001</v>
      </c>
      <c r="Z20" s="68">
        <f t="shared" si="13"/>
        <v>2.2185593718750001</v>
      </c>
      <c r="AA20" s="68">
        <f t="shared" si="13"/>
        <v>2.2185593718750001</v>
      </c>
      <c r="AB20" s="68">
        <f t="shared" si="13"/>
        <v>2.2185593718750001</v>
      </c>
      <c r="AC20" s="142"/>
    </row>
    <row r="21" spans="1:29" x14ac:dyDescent="0.3">
      <c r="A21" s="40"/>
      <c r="B21" s="40"/>
      <c r="C21" s="3"/>
      <c r="D21" s="3"/>
    </row>
    <row r="22" spans="1:29" x14ac:dyDescent="0.3">
      <c r="A22" s="40"/>
      <c r="B22" s="40"/>
      <c r="H22" s="181" t="s">
        <v>268</v>
      </c>
      <c r="I22" s="181"/>
      <c r="J22" s="181"/>
      <c r="K22" s="181"/>
      <c r="L22" s="181"/>
      <c r="M22" s="181"/>
      <c r="N22" s="181"/>
    </row>
    <row r="23" spans="1:29" x14ac:dyDescent="0.3">
      <c r="H23" s="181"/>
      <c r="I23" s="181"/>
      <c r="J23" s="181"/>
      <c r="K23" s="181"/>
      <c r="L23" s="181"/>
      <c r="M23" s="181"/>
      <c r="N23" s="181"/>
    </row>
  </sheetData>
  <mergeCells count="2">
    <mergeCell ref="C1:H1"/>
    <mergeCell ref="H22:N23"/>
  </mergeCells>
  <phoneticPr fontId="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A20A2-96BF-4B9C-A47F-903DCA896096}">
  <sheetPr codeName="Sheet6"/>
  <dimension ref="A1:AB30"/>
  <sheetViews>
    <sheetView workbookViewId="0">
      <pane xSplit="2" ySplit="2" topLeftCell="C4" activePane="bottomRight" state="frozen"/>
      <selection pane="topRight" activeCell="C1" sqref="C1"/>
      <selection pane="bottomLeft" activeCell="A3" sqref="A3"/>
      <selection pane="bottomRight" activeCell="F20" sqref="F20"/>
    </sheetView>
  </sheetViews>
  <sheetFormatPr defaultRowHeight="14.4" x14ac:dyDescent="0.3"/>
  <cols>
    <col min="2" max="2" width="26.6640625" customWidth="1"/>
    <col min="3" max="3" width="14.88671875" bestFit="1" customWidth="1"/>
    <col min="4" max="5" width="12.33203125" bestFit="1" customWidth="1"/>
    <col min="6" max="8" width="11.109375" bestFit="1" customWidth="1"/>
    <col min="9" max="9" width="9.88671875" customWidth="1"/>
    <col min="10" max="29" width="11.109375" bestFit="1" customWidth="1"/>
  </cols>
  <sheetData>
    <row r="1" spans="1:28" x14ac:dyDescent="0.3">
      <c r="A1" s="4"/>
      <c r="B1" s="4"/>
      <c r="C1" s="5" t="s">
        <v>74</v>
      </c>
      <c r="D1" s="5" t="s">
        <v>75</v>
      </c>
      <c r="E1" s="5" t="s">
        <v>76</v>
      </c>
      <c r="F1" s="5" t="s">
        <v>77</v>
      </c>
      <c r="G1" s="5" t="s">
        <v>150</v>
      </c>
      <c r="H1" s="5" t="s">
        <v>149</v>
      </c>
      <c r="I1" s="5" t="s">
        <v>80</v>
      </c>
      <c r="J1" s="5" t="s">
        <v>81</v>
      </c>
      <c r="K1" s="5" t="s">
        <v>82</v>
      </c>
      <c r="L1" s="5" t="s">
        <v>83</v>
      </c>
      <c r="M1" s="5" t="s">
        <v>84</v>
      </c>
      <c r="N1" s="5" t="s">
        <v>85</v>
      </c>
      <c r="O1" s="5" t="s">
        <v>86</v>
      </c>
      <c r="P1" s="5" t="s">
        <v>87</v>
      </c>
      <c r="Q1" s="5" t="s">
        <v>88</v>
      </c>
      <c r="R1" s="5" t="s">
        <v>89</v>
      </c>
      <c r="S1" s="5" t="s">
        <v>90</v>
      </c>
      <c r="T1" s="5" t="s">
        <v>91</v>
      </c>
      <c r="U1" s="5" t="s">
        <v>92</v>
      </c>
      <c r="V1" s="5" t="s">
        <v>93</v>
      </c>
      <c r="W1" s="5" t="s">
        <v>94</v>
      </c>
      <c r="X1" s="5" t="s">
        <v>95</v>
      </c>
      <c r="Y1" s="5" t="s">
        <v>96</v>
      </c>
      <c r="Z1" s="5" t="s">
        <v>97</v>
      </c>
      <c r="AA1" s="5" t="s">
        <v>98</v>
      </c>
      <c r="AB1" s="5" t="s">
        <v>99</v>
      </c>
    </row>
    <row r="2" spans="1:28" x14ac:dyDescent="0.3">
      <c r="A2" s="4"/>
      <c r="B2" s="5" t="s">
        <v>30</v>
      </c>
      <c r="C2" s="5" t="s">
        <v>22</v>
      </c>
      <c r="D2" s="5">
        <v>1</v>
      </c>
      <c r="E2" s="5">
        <v>2</v>
      </c>
      <c r="F2" s="5">
        <v>3</v>
      </c>
      <c r="G2" s="5">
        <v>4</v>
      </c>
      <c r="H2" s="5">
        <v>5</v>
      </c>
      <c r="I2" s="5">
        <v>6</v>
      </c>
      <c r="J2" s="5">
        <v>7</v>
      </c>
      <c r="K2" s="5">
        <v>8</v>
      </c>
      <c r="L2" s="5">
        <v>9</v>
      </c>
      <c r="M2" s="5">
        <v>10</v>
      </c>
      <c r="N2" s="5">
        <v>11</v>
      </c>
      <c r="O2" s="5">
        <v>12</v>
      </c>
      <c r="P2" s="5">
        <v>13</v>
      </c>
      <c r="Q2" s="5">
        <v>14</v>
      </c>
      <c r="R2" s="5">
        <v>15</v>
      </c>
      <c r="S2" s="5">
        <v>16</v>
      </c>
      <c r="T2" s="5">
        <v>17</v>
      </c>
      <c r="U2" s="5">
        <v>18</v>
      </c>
      <c r="V2" s="5">
        <v>19</v>
      </c>
      <c r="W2" s="5">
        <v>20</v>
      </c>
      <c r="X2" s="5">
        <v>21</v>
      </c>
      <c r="Y2" s="5">
        <v>22</v>
      </c>
      <c r="Z2" s="5">
        <v>23</v>
      </c>
      <c r="AA2" s="5">
        <v>24</v>
      </c>
      <c r="AB2" s="5">
        <v>25</v>
      </c>
    </row>
    <row r="3" spans="1:28" x14ac:dyDescent="0.3">
      <c r="A3" s="4"/>
      <c r="B3" s="4" t="s">
        <v>146</v>
      </c>
      <c r="C3" s="29" t="s">
        <v>147</v>
      </c>
      <c r="D3" s="42">
        <f ca="1">'Basic Tariff Model'!E62</f>
        <v>3.1498882788631146</v>
      </c>
      <c r="E3" s="42">
        <f ca="1">'Basic Tariff Model'!F62</f>
        <v>3.0931407114988261</v>
      </c>
      <c r="F3" s="42">
        <f ca="1">'Basic Tariff Model'!G62</f>
        <v>3.0425862454404533</v>
      </c>
      <c r="G3" s="42">
        <f ca="1">'Basic Tariff Model'!H62</f>
        <v>2.9871986987474846</v>
      </c>
      <c r="H3" s="42">
        <f ca="1">'Basic Tariff Model'!I62</f>
        <v>2.9383586464683429</v>
      </c>
      <c r="I3" s="42">
        <f ca="1">'Basic Tariff Model'!J62</f>
        <v>3.0173653500763518</v>
      </c>
      <c r="J3" s="42">
        <f ca="1">'Basic Tariff Model'!K62</f>
        <v>2.9813253474091153</v>
      </c>
      <c r="K3" s="42">
        <f ca="1">'Basic Tariff Model'!L62</f>
        <v>2.9406830274586957</v>
      </c>
      <c r="L3" s="42">
        <f ca="1">'Basic Tariff Model'!M62</f>
        <v>2.9016230304560526</v>
      </c>
      <c r="M3" s="42">
        <f ca="1">'Basic Tariff Model'!N62</f>
        <v>2.8642358652737991</v>
      </c>
      <c r="N3" s="42">
        <f ca="1">'Basic Tariff Model'!O62</f>
        <v>3.0233069162862098</v>
      </c>
      <c r="O3" s="42">
        <f ca="1">'Basic Tariff Model'!P62</f>
        <v>2.989557945923178</v>
      </c>
      <c r="P3" s="42">
        <f ca="1">'Basic Tariff Model'!Q62</f>
        <v>2.9577855981043206</v>
      </c>
      <c r="Q3" s="42">
        <f ca="1">'Basic Tariff Model'!R62</f>
        <v>2.3245956366718308</v>
      </c>
      <c r="R3" s="42">
        <f ca="1">'Basic Tariff Model'!S62</f>
        <v>2.3566306023126877</v>
      </c>
      <c r="S3" s="42">
        <f ca="1">'Basic Tariff Model'!T62</f>
        <v>2.3997980462256754</v>
      </c>
      <c r="T3" s="42">
        <f ca="1">'Basic Tariff Model'!U62</f>
        <v>2.4454346679304866</v>
      </c>
      <c r="U3" s="42">
        <f ca="1">'Basic Tariff Model'!V62</f>
        <v>2.493681704396812</v>
      </c>
      <c r="V3" s="42">
        <f ca="1">'Basic Tariff Model'!W62</f>
        <v>2.5446884713490117</v>
      </c>
      <c r="W3" s="42">
        <f ca="1">'Basic Tariff Model'!X62</f>
        <v>2.5986128253708771</v>
      </c>
      <c r="X3" s="42">
        <f ca="1">'Basic Tariff Model'!Y62</f>
        <v>2.6556216524427936</v>
      </c>
      <c r="Y3" s="42">
        <f ca="1">'Basic Tariff Model'!Z62</f>
        <v>2.7158913844232235</v>
      </c>
      <c r="Z3" s="42">
        <f ca="1">'Basic Tariff Model'!AA62</f>
        <v>2.779608545072934</v>
      </c>
      <c r="AA3" s="42">
        <f ca="1">'Basic Tariff Model'!AB62</f>
        <v>2.8469703273118077</v>
      </c>
      <c r="AB3" s="42">
        <f ca="1">'Basic Tariff Model'!AC62</f>
        <v>2.9181852034947449</v>
      </c>
    </row>
    <row r="4" spans="1:28" x14ac:dyDescent="0.3">
      <c r="A4" s="4"/>
      <c r="B4" s="4" t="s">
        <v>148</v>
      </c>
      <c r="C4" s="29" t="s">
        <v>61</v>
      </c>
      <c r="D4" s="69">
        <f>ROUND('Cost Requirement'!$C$3*'Input Sheet'!D12*(1-'Input Sheet'!D10)+'Cost Requirement'!$C$4*'Input Sheet'!D9,4)</f>
        <v>8.1600000000000006E-2</v>
      </c>
      <c r="E4" s="69">
        <f>ROUND('Cost Requirement'!$C$3*'Input Sheet'!E12*(1-'Input Sheet'!E10)+'Cost Requirement'!$C$4*'Input Sheet'!E9,4)</f>
        <v>8.1600000000000006E-2</v>
      </c>
      <c r="F4" s="69">
        <f>ROUND('Cost Requirement'!$C$3*'Input Sheet'!F12*(1-'Input Sheet'!F10)+'Cost Requirement'!$C$4*'Input Sheet'!F9,4)</f>
        <v>8.1600000000000006E-2</v>
      </c>
      <c r="G4" s="69">
        <f>ROUND('Cost Requirement'!$C$3*'Input Sheet'!G12*(1-'Input Sheet'!G10)+'Cost Requirement'!$C$4*'Input Sheet'!G9,4)</f>
        <v>8.1600000000000006E-2</v>
      </c>
      <c r="H4" s="69">
        <f>ROUND('Cost Requirement'!$C$3*'Input Sheet'!H12*(1-'Input Sheet'!H10)+'Cost Requirement'!$C$4*'Input Sheet'!H9,4)</f>
        <v>8.1600000000000006E-2</v>
      </c>
      <c r="I4" s="69">
        <f>ROUND('Cost Requirement'!$C$3*'Input Sheet'!I12*(1-'Input Sheet'!I10)+'Cost Requirement'!$C$4*'Input Sheet'!I9,4)</f>
        <v>8.1600000000000006E-2</v>
      </c>
      <c r="J4" s="69">
        <f>ROUND('Cost Requirement'!$C$3*'Input Sheet'!J12*(1-'Input Sheet'!J10)+'Cost Requirement'!$C$4*'Input Sheet'!J9,4)</f>
        <v>8.1600000000000006E-2</v>
      </c>
      <c r="K4" s="69">
        <f>ROUND('Cost Requirement'!$C$3*'Input Sheet'!K12*(1-'Input Sheet'!K10)+'Cost Requirement'!$C$4*'Input Sheet'!K9,4)</f>
        <v>8.1600000000000006E-2</v>
      </c>
      <c r="L4" s="69">
        <f>ROUND('Cost Requirement'!$C$3*'Input Sheet'!L12*(1-'Input Sheet'!L10)+'Cost Requirement'!$C$4*'Input Sheet'!L9,4)</f>
        <v>8.1600000000000006E-2</v>
      </c>
      <c r="M4" s="69">
        <f>ROUND('Cost Requirement'!$C$3*'Input Sheet'!M12*(1-'Input Sheet'!M10)+'Cost Requirement'!$C$4*'Input Sheet'!M9,4)</f>
        <v>8.1600000000000006E-2</v>
      </c>
      <c r="N4" s="69">
        <f>ROUND('Cost Requirement'!$C$3*'Input Sheet'!N12*(1-'Input Sheet'!N10)+'Cost Requirement'!$C$4*'Input Sheet'!N9,4)</f>
        <v>7.4999999999999997E-2</v>
      </c>
      <c r="O4" s="69">
        <f>ROUND('Cost Requirement'!$C$3*'Input Sheet'!O12*(1-'Input Sheet'!O10)+'Cost Requirement'!$C$4*'Input Sheet'!O9,4)</f>
        <v>7.4999999999999997E-2</v>
      </c>
      <c r="P4" s="69">
        <f>ROUND('Cost Requirement'!$C$3*'Input Sheet'!P12*(1-'Input Sheet'!P10)+'Cost Requirement'!$C$4*'Input Sheet'!P9,4)</f>
        <v>7.4999999999999997E-2</v>
      </c>
      <c r="Q4" s="69">
        <f>ROUND('Cost Requirement'!$C$3*'Input Sheet'!Q12*(1-'Input Sheet'!Q10)+'Cost Requirement'!$C$4*'Input Sheet'!Q9,4)</f>
        <v>7.4999999999999997E-2</v>
      </c>
      <c r="R4" s="69">
        <f>ROUND('Cost Requirement'!$C$3*'Input Sheet'!R12*(1-'Input Sheet'!R10)+'Cost Requirement'!$C$4*'Input Sheet'!R9,4)</f>
        <v>7.4999999999999997E-2</v>
      </c>
      <c r="S4" s="69">
        <f>ROUND('Cost Requirement'!$C$3*'Input Sheet'!S12*(1-'Input Sheet'!S10)+'Cost Requirement'!$C$4*'Input Sheet'!S9,4)</f>
        <v>7.4999999999999997E-2</v>
      </c>
      <c r="T4" s="69">
        <f>ROUND('Cost Requirement'!$C$3*'Input Sheet'!T12*(1-'Input Sheet'!T10)+'Cost Requirement'!$C$4*'Input Sheet'!T9,4)</f>
        <v>7.4999999999999997E-2</v>
      </c>
      <c r="U4" s="69">
        <f>ROUND('Cost Requirement'!$C$3*'Input Sheet'!U12*(1-'Input Sheet'!U10)+'Cost Requirement'!$C$4*'Input Sheet'!U9,4)</f>
        <v>7.4999999999999997E-2</v>
      </c>
      <c r="V4" s="69">
        <f>ROUND('Cost Requirement'!$C$3*'Input Sheet'!V12*(1-'Input Sheet'!V10)+'Cost Requirement'!$C$4*'Input Sheet'!V9,4)</f>
        <v>7.4999999999999997E-2</v>
      </c>
      <c r="W4" s="69">
        <f>ROUND('Cost Requirement'!$C$3*'Input Sheet'!W12*(1-'Input Sheet'!W10)+'Cost Requirement'!$C$4*'Input Sheet'!W9,4)</f>
        <v>7.4999999999999997E-2</v>
      </c>
      <c r="X4" s="69">
        <f>ROUND('Cost Requirement'!$C$3*'Input Sheet'!X12*(1-'Input Sheet'!X10)+'Cost Requirement'!$C$4*'Input Sheet'!X9,4)</f>
        <v>7.4999999999999997E-2</v>
      </c>
      <c r="Y4" s="69">
        <f>ROUND('Cost Requirement'!$C$3*'Input Sheet'!Y12*(1-'Input Sheet'!Y10)+'Cost Requirement'!$C$4*'Input Sheet'!Y9,4)</f>
        <v>7.4999999999999997E-2</v>
      </c>
      <c r="Z4" s="69">
        <f>ROUND('Cost Requirement'!$C$3*'Input Sheet'!Z12*(1-'Input Sheet'!Z10)+'Cost Requirement'!$C$4*'Input Sheet'!Z9,4)</f>
        <v>7.4999999999999997E-2</v>
      </c>
      <c r="AA4" s="69">
        <f>ROUND('Cost Requirement'!$C$3*'Input Sheet'!AA12*(1-'Input Sheet'!AA10)+'Cost Requirement'!$C$4*'Input Sheet'!AA9,4)</f>
        <v>7.4999999999999997E-2</v>
      </c>
      <c r="AB4" s="69">
        <f>ROUND('Cost Requirement'!$C$3*'Input Sheet'!AB12*(1-'Input Sheet'!AB10)+'Cost Requirement'!$C$4*'Input Sheet'!AB9,4)</f>
        <v>7.4999999999999997E-2</v>
      </c>
    </row>
    <row r="5" spans="1:28" x14ac:dyDescent="0.3">
      <c r="A5" s="4"/>
      <c r="B5" s="4" t="s">
        <v>21</v>
      </c>
      <c r="C5" s="29"/>
      <c r="D5" s="29">
        <v>1</v>
      </c>
      <c r="E5" s="29">
        <f>D5/(1+E4)</f>
        <v>0.92455621301775159</v>
      </c>
      <c r="F5" s="29">
        <f t="shared" ref="F5:AB5" si="0">E5/(1+F4)</f>
        <v>0.85480419102972605</v>
      </c>
      <c r="G5" s="29">
        <f t="shared" si="0"/>
        <v>0.79031452573014616</v>
      </c>
      <c r="H5" s="29">
        <f t="shared" si="0"/>
        <v>0.73069020500198434</v>
      </c>
      <c r="I5" s="29">
        <f t="shared" si="0"/>
        <v>0.67556416882579917</v>
      </c>
      <c r="J5" s="29">
        <f t="shared" si="0"/>
        <v>0.6245970495800659</v>
      </c>
      <c r="K5" s="29">
        <f t="shared" si="0"/>
        <v>0.5774750828218066</v>
      </c>
      <c r="L5" s="29">
        <f t="shared" si="0"/>
        <v>0.53390817568584192</v>
      </c>
      <c r="M5" s="29">
        <f t="shared" si="0"/>
        <v>0.49362812101131842</v>
      </c>
      <c r="N5" s="29">
        <f t="shared" si="0"/>
        <v>0.45918894977797065</v>
      </c>
      <c r="O5" s="29">
        <f t="shared" si="0"/>
        <v>0.42715251142136806</v>
      </c>
      <c r="P5" s="29">
        <f t="shared" si="0"/>
        <v>0.39735117341522613</v>
      </c>
      <c r="Q5" s="29">
        <f t="shared" si="0"/>
        <v>0.36962899852579179</v>
      </c>
      <c r="R5" s="29">
        <f t="shared" si="0"/>
        <v>0.34384092886120166</v>
      </c>
      <c r="S5" s="29">
        <f t="shared" si="0"/>
        <v>0.31985202684762948</v>
      </c>
      <c r="T5" s="29">
        <f t="shared" si="0"/>
        <v>0.29753676916058558</v>
      </c>
      <c r="U5" s="29">
        <f t="shared" si="0"/>
        <v>0.2767783899168238</v>
      </c>
      <c r="V5" s="29">
        <f t="shared" si="0"/>
        <v>0.25746826969006864</v>
      </c>
      <c r="W5" s="29">
        <f t="shared" si="0"/>
        <v>0.23950536715355222</v>
      </c>
      <c r="X5" s="29">
        <f t="shared" si="0"/>
        <v>0.22279569037539743</v>
      </c>
      <c r="Y5" s="29">
        <f t="shared" si="0"/>
        <v>0.20725180500036972</v>
      </c>
      <c r="Z5" s="29">
        <f t="shared" si="0"/>
        <v>0.19279237674452998</v>
      </c>
      <c r="AA5" s="29">
        <f t="shared" si="0"/>
        <v>0.17934174580886511</v>
      </c>
      <c r="AB5" s="29">
        <f t="shared" si="0"/>
        <v>0.16682953098499081</v>
      </c>
    </row>
    <row r="6" spans="1:28" x14ac:dyDescent="0.3">
      <c r="A6" s="4"/>
      <c r="B6" s="4" t="s">
        <v>27</v>
      </c>
      <c r="C6" s="29" t="s">
        <v>147</v>
      </c>
      <c r="D6" s="42">
        <f ca="1">SUMPRODUCT(D3:AB3,D5:AB5)/SUM(D5:AB5)</f>
        <v>2.883458668925758</v>
      </c>
      <c r="E6" s="42"/>
      <c r="F6" s="153"/>
      <c r="G6" s="42"/>
      <c r="H6" s="42"/>
      <c r="I6" s="29"/>
      <c r="J6" s="29"/>
      <c r="K6" s="29"/>
      <c r="L6" s="29"/>
      <c r="M6" s="29"/>
      <c r="N6" s="29"/>
      <c r="O6" s="29"/>
      <c r="P6" s="29"/>
      <c r="Q6" s="29"/>
      <c r="R6" s="29"/>
      <c r="S6" s="29"/>
      <c r="T6" s="29"/>
      <c r="U6" s="29"/>
      <c r="V6" s="29"/>
      <c r="W6" s="29"/>
      <c r="X6" s="29"/>
      <c r="Y6" s="29"/>
      <c r="Z6" s="29"/>
      <c r="AA6" s="29"/>
      <c r="AB6" s="29"/>
    </row>
    <row r="8" spans="1:28" x14ac:dyDescent="0.3">
      <c r="B8" s="60" t="s">
        <v>172</v>
      </c>
      <c r="C8" s="60" t="s">
        <v>169</v>
      </c>
      <c r="D8" s="60" t="s">
        <v>170</v>
      </c>
      <c r="E8" s="60" t="s">
        <v>171</v>
      </c>
      <c r="F8" s="26"/>
    </row>
    <row r="9" spans="1:28" x14ac:dyDescent="0.3">
      <c r="B9" s="60" t="s">
        <v>212</v>
      </c>
      <c r="C9" s="26"/>
      <c r="D9" s="26"/>
      <c r="E9" s="74">
        <f>'Cost Requirement'!C2</f>
        <v>240</v>
      </c>
      <c r="F9" s="26"/>
    </row>
    <row r="10" spans="1:28" x14ac:dyDescent="0.3">
      <c r="B10" s="60" t="s">
        <v>164</v>
      </c>
      <c r="C10" s="26"/>
      <c r="D10" s="26"/>
      <c r="E10" s="61">
        <f>'Cost Requirement'!C3</f>
        <v>0.7</v>
      </c>
      <c r="F10" s="26"/>
    </row>
    <row r="11" spans="1:28" x14ac:dyDescent="0.3">
      <c r="B11" s="60" t="s">
        <v>165</v>
      </c>
      <c r="C11" s="26"/>
      <c r="D11" s="26"/>
      <c r="E11" s="61">
        <f>'Input Sheet'!D12</f>
        <v>7.1999999999999995E-2</v>
      </c>
      <c r="F11" s="26"/>
      <c r="O11" s="147"/>
    </row>
    <row r="12" spans="1:28" x14ac:dyDescent="0.3">
      <c r="B12" s="60" t="s">
        <v>139</v>
      </c>
      <c r="C12" s="26"/>
      <c r="D12" s="26"/>
      <c r="E12" s="61">
        <f>'Input Sheet'!D13</f>
        <v>0.1166</v>
      </c>
      <c r="F12" s="26"/>
      <c r="O12" s="147"/>
    </row>
    <row r="13" spans="1:28" x14ac:dyDescent="0.3">
      <c r="B13" s="60" t="s">
        <v>166</v>
      </c>
      <c r="C13" s="26"/>
      <c r="D13" s="26"/>
      <c r="E13" s="61">
        <f>'Input Sheet'!D6</f>
        <v>0.1</v>
      </c>
      <c r="F13" s="26"/>
      <c r="O13" s="147"/>
    </row>
    <row r="14" spans="1:28" x14ac:dyDescent="0.3">
      <c r="B14" s="60" t="s">
        <v>173</v>
      </c>
      <c r="C14" s="26"/>
      <c r="D14" s="26"/>
      <c r="E14" s="61">
        <f>'Input Sheet'!D7</f>
        <v>7.0000000000000001E-3</v>
      </c>
      <c r="F14" s="26"/>
      <c r="O14" s="147"/>
    </row>
    <row r="15" spans="1:28" x14ac:dyDescent="0.3">
      <c r="B15" s="60" t="s">
        <v>34</v>
      </c>
      <c r="C15" s="26"/>
      <c r="D15" s="26"/>
      <c r="E15" s="61">
        <f>'Input Sheet'!D9</f>
        <v>0.14000000000000001</v>
      </c>
      <c r="F15" s="26"/>
    </row>
    <row r="16" spans="1:28" x14ac:dyDescent="0.3">
      <c r="B16" s="119" t="s">
        <v>19</v>
      </c>
      <c r="C16" s="26"/>
      <c r="D16" s="26"/>
      <c r="E16" s="61">
        <f>'Cost Requirement'!K19</f>
        <v>0.34610000000000002</v>
      </c>
      <c r="F16" s="26"/>
    </row>
    <row r="17" spans="2:6" x14ac:dyDescent="0.3">
      <c r="B17" s="120" t="s">
        <v>208</v>
      </c>
      <c r="C17" s="26"/>
      <c r="D17" s="26"/>
      <c r="E17" s="61">
        <f>'Cost Requirement'!H19</f>
        <v>0.3</v>
      </c>
      <c r="F17" s="26"/>
    </row>
    <row r="18" spans="2:6" x14ac:dyDescent="0.3">
      <c r="B18" s="120" t="s">
        <v>202</v>
      </c>
      <c r="C18" s="26"/>
      <c r="D18" s="26"/>
      <c r="E18" s="61">
        <f>'Cost Requirement'!I19</f>
        <v>0.12</v>
      </c>
      <c r="F18" s="26"/>
    </row>
    <row r="19" spans="2:6" x14ac:dyDescent="0.3">
      <c r="B19" s="120" t="s">
        <v>203</v>
      </c>
      <c r="C19" s="26"/>
      <c r="D19" s="26"/>
      <c r="E19" s="61">
        <f>'Cost Requirement'!J19</f>
        <v>0.03</v>
      </c>
      <c r="F19" s="26"/>
    </row>
    <row r="20" spans="2:6" x14ac:dyDescent="0.3">
      <c r="B20" s="118" t="s">
        <v>200</v>
      </c>
      <c r="C20" s="26"/>
      <c r="D20" s="26"/>
      <c r="E20" s="61">
        <f>'Input Sheet'!D10</f>
        <v>0.21340000000000001</v>
      </c>
      <c r="F20" s="26"/>
    </row>
    <row r="21" spans="2:6" x14ac:dyDescent="0.3">
      <c r="B21" s="120" t="s">
        <v>208</v>
      </c>
      <c r="C21" s="26"/>
      <c r="D21" s="26"/>
      <c r="E21" s="61">
        <f>'Cost Requirement'!H20</f>
        <v>0.185</v>
      </c>
      <c r="F21" s="26"/>
    </row>
    <row r="22" spans="2:6" x14ac:dyDescent="0.3">
      <c r="B22" s="120" t="s">
        <v>202</v>
      </c>
      <c r="C22" s="26"/>
      <c r="D22" s="26"/>
      <c r="E22" s="61">
        <f>'Cost Requirement'!I20</f>
        <v>0.12</v>
      </c>
      <c r="F22" s="26"/>
    </row>
    <row r="23" spans="2:6" x14ac:dyDescent="0.3">
      <c r="B23" s="120" t="s">
        <v>203</v>
      </c>
      <c r="C23" s="26"/>
      <c r="D23" s="26"/>
      <c r="E23" s="61">
        <f>'Cost Requirement'!J20</f>
        <v>0.03</v>
      </c>
      <c r="F23" s="26"/>
    </row>
    <row r="24" spans="2:6" x14ac:dyDescent="0.3">
      <c r="B24" s="60" t="s">
        <v>73</v>
      </c>
      <c r="C24" s="26"/>
      <c r="D24" s="26"/>
      <c r="E24" s="62">
        <f>'Input Sheet'!I19</f>
        <v>6</v>
      </c>
      <c r="F24" s="26"/>
    </row>
    <row r="25" spans="2:6" x14ac:dyDescent="0.3">
      <c r="B25" s="60" t="s">
        <v>168</v>
      </c>
      <c r="C25" s="26"/>
      <c r="D25" s="26"/>
      <c r="E25" s="61">
        <f>'Input Sheet'!I18</f>
        <v>5.7200000000000001E-2</v>
      </c>
      <c r="F25" s="26"/>
    </row>
    <row r="26" spans="2:6" x14ac:dyDescent="0.3">
      <c r="B26" s="60" t="s">
        <v>197</v>
      </c>
      <c r="C26" s="26"/>
      <c r="D26" s="26"/>
      <c r="E26" s="61">
        <f>'Input Sheet'!D5</f>
        <v>0.23</v>
      </c>
      <c r="F26" s="26"/>
    </row>
    <row r="27" spans="2:6" ht="15" customHeight="1" x14ac:dyDescent="0.3">
      <c r="B27" s="60" t="s">
        <v>3</v>
      </c>
      <c r="C27" s="26"/>
      <c r="D27" s="26"/>
      <c r="E27" s="74">
        <f>IF('Cost Requirement'!D22=0,'Cost Requirement'!C20,'Cost Requirement'!G6)</f>
        <v>10</v>
      </c>
      <c r="F27" s="74">
        <f>'Cost Requirement'!C20</f>
        <v>10</v>
      </c>
    </row>
    <row r="28" spans="2:6" ht="15" customHeight="1" x14ac:dyDescent="0.3">
      <c r="B28" s="60" t="s">
        <v>211</v>
      </c>
      <c r="C28" s="26"/>
      <c r="D28" s="26"/>
      <c r="E28" s="74">
        <f>'Cost Requirement'!C18</f>
        <v>4</v>
      </c>
      <c r="F28" s="26"/>
    </row>
    <row r="29" spans="2:6" ht="15" customHeight="1" x14ac:dyDescent="0.3">
      <c r="B29" s="60" t="s">
        <v>179</v>
      </c>
      <c r="C29" s="26"/>
      <c r="D29" s="26"/>
      <c r="E29" s="62">
        <f>'Cost Requirement'!D22</f>
        <v>0</v>
      </c>
      <c r="F29" s="26"/>
    </row>
    <row r="30" spans="2:6" x14ac:dyDescent="0.3">
      <c r="B30" s="60" t="s">
        <v>163</v>
      </c>
      <c r="C30" s="61">
        <f ca="1">Financial!D19</f>
        <v>0.1427080515467789</v>
      </c>
      <c r="D30" s="26"/>
      <c r="E30" s="26"/>
      <c r="F30" s="2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ncrease_Debt">
                <anchor moveWithCells="1" sizeWithCells="1">
                  <from>
                    <xdr:col>2</xdr:col>
                    <xdr:colOff>251460</xdr:colOff>
                    <xdr:row>9</xdr:row>
                    <xdr:rowOff>22860</xdr:rowOff>
                  </from>
                  <to>
                    <xdr:col>2</xdr:col>
                    <xdr:colOff>541020</xdr:colOff>
                    <xdr:row>9</xdr:row>
                    <xdr:rowOff>152400</xdr:rowOff>
                  </to>
                </anchor>
              </controlPr>
            </control>
          </mc:Choice>
        </mc:AlternateContent>
        <mc:AlternateContent xmlns:mc="http://schemas.openxmlformats.org/markup-compatibility/2006">
          <mc:Choice Requires="x14">
            <control shapeId="1026" r:id="rId4" name="Button 2">
              <controlPr defaultSize="0" print="0" autoFill="0" autoPict="0" macro="[0]!Increase_IOL">
                <anchor moveWithCells="1" sizeWithCells="1">
                  <from>
                    <xdr:col>2</xdr:col>
                    <xdr:colOff>251460</xdr:colOff>
                    <xdr:row>10</xdr:row>
                    <xdr:rowOff>22860</xdr:rowOff>
                  </from>
                  <to>
                    <xdr:col>2</xdr:col>
                    <xdr:colOff>541020</xdr:colOff>
                    <xdr:row>10</xdr:row>
                    <xdr:rowOff>152400</xdr:rowOff>
                  </to>
                </anchor>
              </controlPr>
            </control>
          </mc:Choice>
        </mc:AlternateContent>
        <mc:AlternateContent xmlns:mc="http://schemas.openxmlformats.org/markup-compatibility/2006">
          <mc:Choice Requires="x14">
            <control shapeId="1027" r:id="rId5" name="Button 3">
              <controlPr defaultSize="0" print="0" autoFill="0" autoPict="0" macro="[0]!Increase_WC">
                <anchor moveWithCells="1" sizeWithCells="1">
                  <from>
                    <xdr:col>2</xdr:col>
                    <xdr:colOff>251460</xdr:colOff>
                    <xdr:row>11</xdr:row>
                    <xdr:rowOff>22860</xdr:rowOff>
                  </from>
                  <to>
                    <xdr:col>2</xdr:col>
                    <xdr:colOff>541020</xdr:colOff>
                    <xdr:row>11</xdr:row>
                    <xdr:rowOff>152400</xdr:rowOff>
                  </to>
                </anchor>
              </controlPr>
            </control>
          </mc:Choice>
        </mc:AlternateContent>
        <mc:AlternateContent xmlns:mc="http://schemas.openxmlformats.org/markup-compatibility/2006">
          <mc:Choice Requires="x14">
            <control shapeId="1028" r:id="rId6" name="Button 4">
              <controlPr defaultSize="0" print="0" autoFill="0" autoPict="0" macro="[0]!Increase_APC">
                <anchor moveWithCells="1" sizeWithCells="1">
                  <from>
                    <xdr:col>2</xdr:col>
                    <xdr:colOff>251460</xdr:colOff>
                    <xdr:row>12</xdr:row>
                    <xdr:rowOff>22860</xdr:rowOff>
                  </from>
                  <to>
                    <xdr:col>2</xdr:col>
                    <xdr:colOff>541020</xdr:colOff>
                    <xdr:row>12</xdr:row>
                    <xdr:rowOff>152400</xdr:rowOff>
                  </to>
                </anchor>
              </controlPr>
            </control>
          </mc:Choice>
        </mc:AlternateContent>
        <mc:AlternateContent xmlns:mc="http://schemas.openxmlformats.org/markup-compatibility/2006">
          <mc:Choice Requires="x14">
            <control shapeId="1029" r:id="rId7" name="Button 5">
              <controlPr defaultSize="0" print="0" autoFill="0" autoPict="0" macro="[0]!Increase_DP">
                <anchor moveWithCells="1" sizeWithCells="1">
                  <from>
                    <xdr:col>2</xdr:col>
                    <xdr:colOff>251460</xdr:colOff>
                    <xdr:row>13</xdr:row>
                    <xdr:rowOff>22860</xdr:rowOff>
                  </from>
                  <to>
                    <xdr:col>2</xdr:col>
                    <xdr:colOff>541020</xdr:colOff>
                    <xdr:row>13</xdr:row>
                    <xdr:rowOff>152400</xdr:rowOff>
                  </to>
                </anchor>
              </controlPr>
            </control>
          </mc:Choice>
        </mc:AlternateContent>
        <mc:AlternateContent xmlns:mc="http://schemas.openxmlformats.org/markup-compatibility/2006">
          <mc:Choice Requires="x14">
            <control shapeId="1030" r:id="rId8" name="Button 6">
              <controlPr defaultSize="0" print="0" autoFill="0" autoPict="0" macro="[0]!Increase_ROE">
                <anchor moveWithCells="1" sizeWithCells="1">
                  <from>
                    <xdr:col>2</xdr:col>
                    <xdr:colOff>251460</xdr:colOff>
                    <xdr:row>14</xdr:row>
                    <xdr:rowOff>22860</xdr:rowOff>
                  </from>
                  <to>
                    <xdr:col>2</xdr:col>
                    <xdr:colOff>541020</xdr:colOff>
                    <xdr:row>14</xdr:row>
                    <xdr:rowOff>152400</xdr:rowOff>
                  </to>
                </anchor>
              </controlPr>
            </control>
          </mc:Choice>
        </mc:AlternateContent>
        <mc:AlternateContent xmlns:mc="http://schemas.openxmlformats.org/markup-compatibility/2006">
          <mc:Choice Requires="x14">
            <control shapeId="1031" r:id="rId9" name="Button 7">
              <controlPr defaultSize="0" print="0" autoFill="0" autoPict="0" macro="[0]!Increase_BMAT">
                <anchor moveWithCells="1" sizeWithCells="1">
                  <from>
                    <xdr:col>2</xdr:col>
                    <xdr:colOff>251460</xdr:colOff>
                    <xdr:row>20</xdr:row>
                    <xdr:rowOff>38100</xdr:rowOff>
                  </from>
                  <to>
                    <xdr:col>2</xdr:col>
                    <xdr:colOff>541020</xdr:colOff>
                    <xdr:row>20</xdr:row>
                    <xdr:rowOff>175260</xdr:rowOff>
                  </to>
                </anchor>
              </controlPr>
            </control>
          </mc:Choice>
        </mc:AlternateContent>
        <mc:AlternateContent xmlns:mc="http://schemas.openxmlformats.org/markup-compatibility/2006">
          <mc:Choice Requires="x14">
            <control shapeId="1032" r:id="rId10" name="Button 8">
              <controlPr defaultSize="0" print="0" autoFill="0" autoPict="0" macro="[0]!Increase_OnM">
                <anchor moveWithCells="1" sizeWithCells="1">
                  <from>
                    <xdr:col>2</xdr:col>
                    <xdr:colOff>251460</xdr:colOff>
                    <xdr:row>23</xdr:row>
                    <xdr:rowOff>22860</xdr:rowOff>
                  </from>
                  <to>
                    <xdr:col>2</xdr:col>
                    <xdr:colOff>541020</xdr:colOff>
                    <xdr:row>23</xdr:row>
                    <xdr:rowOff>152400</xdr:rowOff>
                  </to>
                </anchor>
              </controlPr>
            </control>
          </mc:Choice>
        </mc:AlternateContent>
        <mc:AlternateContent xmlns:mc="http://schemas.openxmlformats.org/markup-compatibility/2006">
          <mc:Choice Requires="x14">
            <control shapeId="1033" r:id="rId11" name="Button 9">
              <controlPr defaultSize="0" print="0" autoFill="0" autoPict="0" macro="[0]!Increase_Escalation">
                <anchor moveWithCells="1" sizeWithCells="1">
                  <from>
                    <xdr:col>2</xdr:col>
                    <xdr:colOff>251460</xdr:colOff>
                    <xdr:row>24</xdr:row>
                    <xdr:rowOff>22860</xdr:rowOff>
                  </from>
                  <to>
                    <xdr:col>2</xdr:col>
                    <xdr:colOff>541020</xdr:colOff>
                    <xdr:row>24</xdr:row>
                    <xdr:rowOff>152400</xdr:rowOff>
                  </to>
                </anchor>
              </controlPr>
            </control>
          </mc:Choice>
        </mc:AlternateContent>
        <mc:AlternateContent xmlns:mc="http://schemas.openxmlformats.org/markup-compatibility/2006">
          <mc:Choice Requires="x14">
            <control shapeId="1034" r:id="rId12" name="Button 10">
              <controlPr defaultSize="0" print="0" autoFill="0" autoPict="0" macro="[0]!Decrease_Debt">
                <anchor moveWithCells="1" sizeWithCells="1">
                  <from>
                    <xdr:col>3</xdr:col>
                    <xdr:colOff>190500</xdr:colOff>
                    <xdr:row>9</xdr:row>
                    <xdr:rowOff>30480</xdr:rowOff>
                  </from>
                  <to>
                    <xdr:col>3</xdr:col>
                    <xdr:colOff>502920</xdr:colOff>
                    <xdr:row>9</xdr:row>
                    <xdr:rowOff>160020</xdr:rowOff>
                  </to>
                </anchor>
              </controlPr>
            </control>
          </mc:Choice>
        </mc:AlternateContent>
        <mc:AlternateContent xmlns:mc="http://schemas.openxmlformats.org/markup-compatibility/2006">
          <mc:Choice Requires="x14">
            <control shapeId="1035" r:id="rId13" name="Button 11">
              <controlPr defaultSize="0" print="0" autoFill="0" autoPict="0" macro="[0]!Decrease_IOL">
                <anchor moveWithCells="1" sizeWithCells="1">
                  <from>
                    <xdr:col>3</xdr:col>
                    <xdr:colOff>190500</xdr:colOff>
                    <xdr:row>10</xdr:row>
                    <xdr:rowOff>30480</xdr:rowOff>
                  </from>
                  <to>
                    <xdr:col>3</xdr:col>
                    <xdr:colOff>502920</xdr:colOff>
                    <xdr:row>10</xdr:row>
                    <xdr:rowOff>160020</xdr:rowOff>
                  </to>
                </anchor>
              </controlPr>
            </control>
          </mc:Choice>
        </mc:AlternateContent>
        <mc:AlternateContent xmlns:mc="http://schemas.openxmlformats.org/markup-compatibility/2006">
          <mc:Choice Requires="x14">
            <control shapeId="1036" r:id="rId14" name="Button 12">
              <controlPr defaultSize="0" print="0" autoFill="0" autoPict="0" macro="[0]!Decrease_WC">
                <anchor moveWithCells="1" sizeWithCells="1">
                  <from>
                    <xdr:col>3</xdr:col>
                    <xdr:colOff>213360</xdr:colOff>
                    <xdr:row>11</xdr:row>
                    <xdr:rowOff>30480</xdr:rowOff>
                  </from>
                  <to>
                    <xdr:col>3</xdr:col>
                    <xdr:colOff>525780</xdr:colOff>
                    <xdr:row>11</xdr:row>
                    <xdr:rowOff>160020</xdr:rowOff>
                  </to>
                </anchor>
              </controlPr>
            </control>
          </mc:Choice>
        </mc:AlternateContent>
        <mc:AlternateContent xmlns:mc="http://schemas.openxmlformats.org/markup-compatibility/2006">
          <mc:Choice Requires="x14">
            <control shapeId="1037" r:id="rId15" name="Button 13">
              <controlPr defaultSize="0" print="0" autoFill="0" autoPict="0" macro="[0]!Decrease_APC">
                <anchor moveWithCells="1" sizeWithCells="1">
                  <from>
                    <xdr:col>3</xdr:col>
                    <xdr:colOff>198120</xdr:colOff>
                    <xdr:row>12</xdr:row>
                    <xdr:rowOff>30480</xdr:rowOff>
                  </from>
                  <to>
                    <xdr:col>3</xdr:col>
                    <xdr:colOff>518160</xdr:colOff>
                    <xdr:row>12</xdr:row>
                    <xdr:rowOff>160020</xdr:rowOff>
                  </to>
                </anchor>
              </controlPr>
            </control>
          </mc:Choice>
        </mc:AlternateContent>
        <mc:AlternateContent xmlns:mc="http://schemas.openxmlformats.org/markup-compatibility/2006">
          <mc:Choice Requires="x14">
            <control shapeId="1038" r:id="rId16" name="Button 14">
              <controlPr defaultSize="0" print="0" autoFill="0" autoPict="0" macro="[0]!Decrease_DP">
                <anchor moveWithCells="1" sizeWithCells="1">
                  <from>
                    <xdr:col>3</xdr:col>
                    <xdr:colOff>198120</xdr:colOff>
                    <xdr:row>13</xdr:row>
                    <xdr:rowOff>30480</xdr:rowOff>
                  </from>
                  <to>
                    <xdr:col>3</xdr:col>
                    <xdr:colOff>518160</xdr:colOff>
                    <xdr:row>13</xdr:row>
                    <xdr:rowOff>160020</xdr:rowOff>
                  </to>
                </anchor>
              </controlPr>
            </control>
          </mc:Choice>
        </mc:AlternateContent>
        <mc:AlternateContent xmlns:mc="http://schemas.openxmlformats.org/markup-compatibility/2006">
          <mc:Choice Requires="x14">
            <control shapeId="1039" r:id="rId17" name="Button 15">
              <controlPr defaultSize="0" print="0" autoFill="0" autoPict="0" macro="[0]!Decrease_ROE">
                <anchor moveWithCells="1" sizeWithCells="1">
                  <from>
                    <xdr:col>3</xdr:col>
                    <xdr:colOff>198120</xdr:colOff>
                    <xdr:row>14</xdr:row>
                    <xdr:rowOff>30480</xdr:rowOff>
                  </from>
                  <to>
                    <xdr:col>3</xdr:col>
                    <xdr:colOff>518160</xdr:colOff>
                    <xdr:row>14</xdr:row>
                    <xdr:rowOff>160020</xdr:rowOff>
                  </to>
                </anchor>
              </controlPr>
            </control>
          </mc:Choice>
        </mc:AlternateContent>
        <mc:AlternateContent xmlns:mc="http://schemas.openxmlformats.org/markup-compatibility/2006">
          <mc:Choice Requires="x14">
            <control shapeId="1041" r:id="rId18" name="Button 17">
              <controlPr defaultSize="0" print="0" autoFill="0" autoPict="0" macro="[0]!Decrease_OnM">
                <anchor moveWithCells="1" sizeWithCells="1">
                  <from>
                    <xdr:col>3</xdr:col>
                    <xdr:colOff>213360</xdr:colOff>
                    <xdr:row>23</xdr:row>
                    <xdr:rowOff>30480</xdr:rowOff>
                  </from>
                  <to>
                    <xdr:col>3</xdr:col>
                    <xdr:colOff>525780</xdr:colOff>
                    <xdr:row>23</xdr:row>
                    <xdr:rowOff>160020</xdr:rowOff>
                  </to>
                </anchor>
              </controlPr>
            </control>
          </mc:Choice>
        </mc:AlternateContent>
        <mc:AlternateContent xmlns:mc="http://schemas.openxmlformats.org/markup-compatibility/2006">
          <mc:Choice Requires="x14">
            <control shapeId="1042" r:id="rId19" name="Button 18">
              <controlPr defaultSize="0" print="0" autoFill="0" autoPict="0" macro="[0]!Decrease_Escalation">
                <anchor moveWithCells="1" sizeWithCells="1">
                  <from>
                    <xdr:col>3</xdr:col>
                    <xdr:colOff>198120</xdr:colOff>
                    <xdr:row>24</xdr:row>
                    <xdr:rowOff>30480</xdr:rowOff>
                  </from>
                  <to>
                    <xdr:col>3</xdr:col>
                    <xdr:colOff>518160</xdr:colOff>
                    <xdr:row>24</xdr:row>
                    <xdr:rowOff>160020</xdr:rowOff>
                  </to>
                </anchor>
              </controlPr>
            </control>
          </mc:Choice>
        </mc:AlternateContent>
        <mc:AlternateContent xmlns:mc="http://schemas.openxmlformats.org/markup-compatibility/2006">
          <mc:Choice Requires="x14">
            <control shapeId="1048" r:id="rId20" name="Button 24">
              <controlPr defaultSize="0" print="0" autoFill="0" autoPict="0" macro="[0]!Increase_CUF">
                <anchor moveWithCells="1" sizeWithCells="1">
                  <from>
                    <xdr:col>2</xdr:col>
                    <xdr:colOff>251460</xdr:colOff>
                    <xdr:row>25</xdr:row>
                    <xdr:rowOff>22860</xdr:rowOff>
                  </from>
                  <to>
                    <xdr:col>2</xdr:col>
                    <xdr:colOff>533400</xdr:colOff>
                    <xdr:row>25</xdr:row>
                    <xdr:rowOff>175260</xdr:rowOff>
                  </to>
                </anchor>
              </controlPr>
            </control>
          </mc:Choice>
        </mc:AlternateContent>
        <mc:AlternateContent xmlns:mc="http://schemas.openxmlformats.org/markup-compatibility/2006">
          <mc:Choice Requires="x14">
            <control shapeId="1049" r:id="rId21" name="Button 25">
              <controlPr defaultSize="0" print="0" autoFill="0" autoPict="0" macro="[0]!Decrease_CUF">
                <anchor moveWithCells="1" sizeWithCells="1">
                  <from>
                    <xdr:col>3</xdr:col>
                    <xdr:colOff>213360</xdr:colOff>
                    <xdr:row>25</xdr:row>
                    <xdr:rowOff>30480</xdr:rowOff>
                  </from>
                  <to>
                    <xdr:col>3</xdr:col>
                    <xdr:colOff>495300</xdr:colOff>
                    <xdr:row>25</xdr:row>
                    <xdr:rowOff>182880</xdr:rowOff>
                  </to>
                </anchor>
              </controlPr>
            </control>
          </mc:Choice>
        </mc:AlternateContent>
        <mc:AlternateContent xmlns:mc="http://schemas.openxmlformats.org/markup-compatibility/2006">
          <mc:Choice Requires="x14">
            <control shapeId="1050" r:id="rId22" name="Button 26">
              <controlPr defaultSize="0" print="0" autoFill="0" autoPict="0" macro="[0]!Default">
                <anchor moveWithCells="1" sizeWithCells="1">
                  <from>
                    <xdr:col>5</xdr:col>
                    <xdr:colOff>30480</xdr:colOff>
                    <xdr:row>9</xdr:row>
                    <xdr:rowOff>22860</xdr:rowOff>
                  </from>
                  <to>
                    <xdr:col>5</xdr:col>
                    <xdr:colOff>716280</xdr:colOff>
                    <xdr:row>9</xdr:row>
                    <xdr:rowOff>175260</xdr:rowOff>
                  </to>
                </anchor>
              </controlPr>
            </control>
          </mc:Choice>
        </mc:AlternateContent>
        <mc:AlternateContent xmlns:mc="http://schemas.openxmlformats.org/markup-compatibility/2006">
          <mc:Choice Requires="x14">
            <control shapeId="1051" r:id="rId23" name="Button 27">
              <controlPr defaultSize="0" print="0" autoFill="0" autoPict="0" macro="[0]!Default_ST">
                <anchor moveWithCells="1" sizeWithCells="1">
                  <from>
                    <xdr:col>5</xdr:col>
                    <xdr:colOff>30480</xdr:colOff>
                    <xdr:row>10</xdr:row>
                    <xdr:rowOff>38100</xdr:rowOff>
                  </from>
                  <to>
                    <xdr:col>5</xdr:col>
                    <xdr:colOff>716280</xdr:colOff>
                    <xdr:row>10</xdr:row>
                    <xdr:rowOff>182880</xdr:rowOff>
                  </to>
                </anchor>
              </controlPr>
            </control>
          </mc:Choice>
        </mc:AlternateContent>
        <mc:AlternateContent xmlns:mc="http://schemas.openxmlformats.org/markup-compatibility/2006">
          <mc:Choice Requires="x14">
            <control shapeId="1052" r:id="rId24" name="Button 28">
              <controlPr defaultSize="0" print="0" autoFill="0" autoPict="0" macro="[0]!Increase_BTR">
                <anchor moveWithCells="1" sizeWithCells="1">
                  <from>
                    <xdr:col>2</xdr:col>
                    <xdr:colOff>236220</xdr:colOff>
                    <xdr:row>16</xdr:row>
                    <xdr:rowOff>22860</xdr:rowOff>
                  </from>
                  <to>
                    <xdr:col>2</xdr:col>
                    <xdr:colOff>563880</xdr:colOff>
                    <xdr:row>16</xdr:row>
                    <xdr:rowOff>160020</xdr:rowOff>
                  </to>
                </anchor>
              </controlPr>
            </control>
          </mc:Choice>
        </mc:AlternateContent>
        <mc:AlternateContent xmlns:mc="http://schemas.openxmlformats.org/markup-compatibility/2006">
          <mc:Choice Requires="x14">
            <control shapeId="1053" r:id="rId25" name="Button 29">
              <controlPr defaultSize="0" print="0" autoFill="0" autoPict="0" macro="[0]!Decrease_BTR">
                <anchor moveWithCells="1" sizeWithCells="1">
                  <from>
                    <xdr:col>3</xdr:col>
                    <xdr:colOff>198120</xdr:colOff>
                    <xdr:row>16</xdr:row>
                    <xdr:rowOff>7620</xdr:rowOff>
                  </from>
                  <to>
                    <xdr:col>3</xdr:col>
                    <xdr:colOff>525780</xdr:colOff>
                    <xdr:row>16</xdr:row>
                    <xdr:rowOff>152400</xdr:rowOff>
                  </to>
                </anchor>
              </controlPr>
            </control>
          </mc:Choice>
        </mc:AlternateContent>
        <mc:AlternateContent xmlns:mc="http://schemas.openxmlformats.org/markup-compatibility/2006">
          <mc:Choice Requires="x14">
            <control shapeId="1055" r:id="rId26" name="Button 31">
              <controlPr defaultSize="0" print="0" autoFill="0" autoPict="0" macro="[0]!Decrease_BMAT">
                <anchor moveWithCells="1" sizeWithCells="1">
                  <from>
                    <xdr:col>3</xdr:col>
                    <xdr:colOff>213360</xdr:colOff>
                    <xdr:row>20</xdr:row>
                    <xdr:rowOff>30480</xdr:rowOff>
                  </from>
                  <to>
                    <xdr:col>3</xdr:col>
                    <xdr:colOff>525780</xdr:colOff>
                    <xdr:row>20</xdr:row>
                    <xdr:rowOff>160020</xdr:rowOff>
                  </to>
                </anchor>
              </controlPr>
            </control>
          </mc:Choice>
        </mc:AlternateContent>
        <mc:AlternateContent xmlns:mc="http://schemas.openxmlformats.org/markup-compatibility/2006">
          <mc:Choice Requires="x14">
            <control shapeId="1056" r:id="rId27" name="Button 32">
              <controlPr defaultSize="0" print="0" autoFill="0" autoPict="0" macro="[0]!Decrease_BSc">
                <anchor moveWithCells="1" sizeWithCells="1">
                  <from>
                    <xdr:col>3</xdr:col>
                    <xdr:colOff>213360</xdr:colOff>
                    <xdr:row>21</xdr:row>
                    <xdr:rowOff>30480</xdr:rowOff>
                  </from>
                  <to>
                    <xdr:col>3</xdr:col>
                    <xdr:colOff>525780</xdr:colOff>
                    <xdr:row>21</xdr:row>
                    <xdr:rowOff>160020</xdr:rowOff>
                  </to>
                </anchor>
              </controlPr>
            </control>
          </mc:Choice>
        </mc:AlternateContent>
        <mc:AlternateContent xmlns:mc="http://schemas.openxmlformats.org/markup-compatibility/2006">
          <mc:Choice Requires="x14">
            <control shapeId="1057" r:id="rId28" name="Button 33">
              <controlPr defaultSize="0" print="0" autoFill="0" autoPict="0" macro="[0]!Decrease_MCess">
                <anchor moveWithCells="1" sizeWithCells="1">
                  <from>
                    <xdr:col>3</xdr:col>
                    <xdr:colOff>213360</xdr:colOff>
                    <xdr:row>22</xdr:row>
                    <xdr:rowOff>30480</xdr:rowOff>
                  </from>
                  <to>
                    <xdr:col>3</xdr:col>
                    <xdr:colOff>525780</xdr:colOff>
                    <xdr:row>22</xdr:row>
                    <xdr:rowOff>160020</xdr:rowOff>
                  </to>
                </anchor>
              </controlPr>
            </control>
          </mc:Choice>
        </mc:AlternateContent>
        <mc:AlternateContent xmlns:mc="http://schemas.openxmlformats.org/markup-compatibility/2006">
          <mc:Choice Requires="x14">
            <control shapeId="1058" r:id="rId29" name="Button 34">
              <controlPr defaultSize="0" print="0" autoFill="0" autoPict="0" macro="[0]!Increase_BSc">
                <anchor moveWithCells="1" sizeWithCells="1">
                  <from>
                    <xdr:col>2</xdr:col>
                    <xdr:colOff>251460</xdr:colOff>
                    <xdr:row>21</xdr:row>
                    <xdr:rowOff>38100</xdr:rowOff>
                  </from>
                  <to>
                    <xdr:col>2</xdr:col>
                    <xdr:colOff>541020</xdr:colOff>
                    <xdr:row>21</xdr:row>
                    <xdr:rowOff>175260</xdr:rowOff>
                  </to>
                </anchor>
              </controlPr>
            </control>
          </mc:Choice>
        </mc:AlternateContent>
        <mc:AlternateContent xmlns:mc="http://schemas.openxmlformats.org/markup-compatibility/2006">
          <mc:Choice Requires="x14">
            <control shapeId="1059" r:id="rId30" name="Button 35">
              <controlPr defaultSize="0" print="0" autoFill="0" autoPict="0" macro="[0]!Increase_MCess">
                <anchor moveWithCells="1" sizeWithCells="1">
                  <from>
                    <xdr:col>2</xdr:col>
                    <xdr:colOff>251460</xdr:colOff>
                    <xdr:row>22</xdr:row>
                    <xdr:rowOff>38100</xdr:rowOff>
                  </from>
                  <to>
                    <xdr:col>2</xdr:col>
                    <xdr:colOff>541020</xdr:colOff>
                    <xdr:row>22</xdr:row>
                    <xdr:rowOff>175260</xdr:rowOff>
                  </to>
                </anchor>
              </controlPr>
            </control>
          </mc:Choice>
        </mc:AlternateContent>
        <mc:AlternateContent xmlns:mc="http://schemas.openxmlformats.org/markup-compatibility/2006">
          <mc:Choice Requires="x14">
            <control shapeId="1062" r:id="rId31" name="Button 38">
              <controlPr defaultSize="0" print="0" autoFill="0" autoPict="0" macro="[0]!Check">
                <anchor moveWithCells="1" sizeWithCells="1">
                  <from>
                    <xdr:col>5</xdr:col>
                    <xdr:colOff>106680</xdr:colOff>
                    <xdr:row>11</xdr:row>
                    <xdr:rowOff>22860</xdr:rowOff>
                  </from>
                  <to>
                    <xdr:col>5</xdr:col>
                    <xdr:colOff>609600</xdr:colOff>
                    <xdr:row>11</xdr:row>
                    <xdr:rowOff>160020</xdr:rowOff>
                  </to>
                </anchor>
              </controlPr>
            </control>
          </mc:Choice>
        </mc:AlternateContent>
        <mc:AlternateContent xmlns:mc="http://schemas.openxmlformats.org/markup-compatibility/2006">
          <mc:Choice Requires="x14">
            <control shapeId="1063" r:id="rId32" name="Button 39">
              <controlPr defaultSize="0" print="0" autoFill="0" autoPict="0" macro="[0]!Increase_Sc">
                <anchor moveWithCells="1" sizeWithCells="1">
                  <from>
                    <xdr:col>2</xdr:col>
                    <xdr:colOff>236220</xdr:colOff>
                    <xdr:row>17</xdr:row>
                    <xdr:rowOff>22860</xdr:rowOff>
                  </from>
                  <to>
                    <xdr:col>2</xdr:col>
                    <xdr:colOff>563880</xdr:colOff>
                    <xdr:row>17</xdr:row>
                    <xdr:rowOff>160020</xdr:rowOff>
                  </to>
                </anchor>
              </controlPr>
            </control>
          </mc:Choice>
        </mc:AlternateContent>
        <mc:AlternateContent xmlns:mc="http://schemas.openxmlformats.org/markup-compatibility/2006">
          <mc:Choice Requires="x14">
            <control shapeId="1064" r:id="rId33" name="Button 40">
              <controlPr defaultSize="0" print="0" autoFill="0" autoPict="0" macro="[0]!Increase_Cess">
                <anchor moveWithCells="1" sizeWithCells="1">
                  <from>
                    <xdr:col>2</xdr:col>
                    <xdr:colOff>236220</xdr:colOff>
                    <xdr:row>18</xdr:row>
                    <xdr:rowOff>22860</xdr:rowOff>
                  </from>
                  <to>
                    <xdr:col>2</xdr:col>
                    <xdr:colOff>563880</xdr:colOff>
                    <xdr:row>18</xdr:row>
                    <xdr:rowOff>160020</xdr:rowOff>
                  </to>
                </anchor>
              </controlPr>
            </control>
          </mc:Choice>
        </mc:AlternateContent>
        <mc:AlternateContent xmlns:mc="http://schemas.openxmlformats.org/markup-compatibility/2006">
          <mc:Choice Requires="x14">
            <control shapeId="1066" r:id="rId34" name="Button 42">
              <controlPr defaultSize="0" print="0" autoFill="0" autoPict="0" macro="[0]!Decrease_Sc">
                <anchor moveWithCells="1" sizeWithCells="1">
                  <from>
                    <xdr:col>3</xdr:col>
                    <xdr:colOff>198120</xdr:colOff>
                    <xdr:row>17</xdr:row>
                    <xdr:rowOff>30480</xdr:rowOff>
                  </from>
                  <to>
                    <xdr:col>3</xdr:col>
                    <xdr:colOff>525780</xdr:colOff>
                    <xdr:row>17</xdr:row>
                    <xdr:rowOff>152400</xdr:rowOff>
                  </to>
                </anchor>
              </controlPr>
            </control>
          </mc:Choice>
        </mc:AlternateContent>
        <mc:AlternateContent xmlns:mc="http://schemas.openxmlformats.org/markup-compatibility/2006">
          <mc:Choice Requires="x14">
            <control shapeId="1067" r:id="rId35" name="Button 43">
              <controlPr defaultSize="0" print="0" autoFill="0" autoPict="0" macro="[0]!Decrease_Cess">
                <anchor moveWithCells="1" sizeWithCells="1">
                  <from>
                    <xdr:col>3</xdr:col>
                    <xdr:colOff>198120</xdr:colOff>
                    <xdr:row>18</xdr:row>
                    <xdr:rowOff>30480</xdr:rowOff>
                  </from>
                  <to>
                    <xdr:col>3</xdr:col>
                    <xdr:colOff>525780</xdr:colOff>
                    <xdr:row>18</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24"/>
  <sheetViews>
    <sheetView topLeftCell="A4" workbookViewId="0">
      <selection activeCell="G14" sqref="G14"/>
    </sheetView>
  </sheetViews>
  <sheetFormatPr defaultRowHeight="14.4" x14ac:dyDescent="0.3"/>
  <cols>
    <col min="2" max="2" width="18.6640625" customWidth="1"/>
    <col min="3" max="3" width="9.5546875" customWidth="1"/>
    <col min="4" max="4" width="9.88671875" customWidth="1"/>
    <col min="5" max="5" width="11.44140625" customWidth="1"/>
    <col min="7" max="7" width="13.44140625" bestFit="1" customWidth="1"/>
    <col min="11" max="11" width="11" bestFit="1" customWidth="1"/>
    <col min="12" max="12" width="10.5546875" customWidth="1"/>
  </cols>
  <sheetData>
    <row r="1" spans="2:31" x14ac:dyDescent="0.3">
      <c r="B1" s="71" t="s">
        <v>198</v>
      </c>
      <c r="C1" s="71"/>
      <c r="D1" s="71"/>
    </row>
    <row r="2" spans="2:31" x14ac:dyDescent="0.3">
      <c r="B2" s="99" t="s">
        <v>28</v>
      </c>
      <c r="C2" s="99">
        <v>240</v>
      </c>
      <c r="D2" s="99" t="s">
        <v>0</v>
      </c>
    </row>
    <row r="3" spans="2:31" x14ac:dyDescent="0.3">
      <c r="B3" s="99" t="s">
        <v>29</v>
      </c>
      <c r="C3" s="73">
        <v>0.7</v>
      </c>
      <c r="D3" s="99"/>
    </row>
    <row r="4" spans="2:31" x14ac:dyDescent="0.3">
      <c r="B4" s="99" t="s">
        <v>4</v>
      </c>
      <c r="C4" s="73">
        <f>1-C3</f>
        <v>0.30000000000000004</v>
      </c>
      <c r="D4" s="99"/>
      <c r="G4" s="80">
        <v>1</v>
      </c>
      <c r="H4" s="80">
        <v>2</v>
      </c>
      <c r="I4" s="80">
        <v>3</v>
      </c>
      <c r="J4" s="80">
        <v>4</v>
      </c>
      <c r="K4" s="80">
        <v>5</v>
      </c>
      <c r="L4" s="80">
        <v>6</v>
      </c>
      <c r="M4" s="80">
        <v>7</v>
      </c>
      <c r="N4" s="80">
        <v>8</v>
      </c>
      <c r="O4" s="80">
        <v>9</v>
      </c>
      <c r="P4" s="80">
        <v>10</v>
      </c>
      <c r="Q4" s="80">
        <v>11</v>
      </c>
      <c r="R4" s="80">
        <v>12</v>
      </c>
      <c r="S4" s="80">
        <v>13</v>
      </c>
      <c r="T4" s="80">
        <v>14</v>
      </c>
      <c r="U4" s="80">
        <v>15</v>
      </c>
      <c r="V4" s="80">
        <v>16</v>
      </c>
      <c r="W4" s="80">
        <v>17</v>
      </c>
      <c r="X4" s="80">
        <v>18</v>
      </c>
      <c r="Y4" s="80">
        <v>19</v>
      </c>
      <c r="Z4" s="80">
        <v>20</v>
      </c>
      <c r="AA4" s="80">
        <v>21</v>
      </c>
      <c r="AB4" s="80">
        <v>22</v>
      </c>
      <c r="AC4" s="80">
        <v>23</v>
      </c>
      <c r="AD4" s="80">
        <v>24</v>
      </c>
      <c r="AE4" s="80">
        <v>25</v>
      </c>
    </row>
    <row r="5" spans="2:31" x14ac:dyDescent="0.3">
      <c r="B5" s="75" t="s">
        <v>1</v>
      </c>
      <c r="C5" s="75"/>
      <c r="D5" s="75" t="s">
        <v>2</v>
      </c>
      <c r="E5" s="75"/>
      <c r="F5" s="75"/>
      <c r="G5" s="76">
        <f>C2</f>
        <v>240</v>
      </c>
      <c r="H5" s="121">
        <f t="shared" ref="H5:H9" si="0">G5/$C$2</f>
        <v>1</v>
      </c>
      <c r="I5" s="53"/>
      <c r="J5" s="53"/>
      <c r="K5" s="53"/>
      <c r="L5" s="53"/>
      <c r="M5" s="53"/>
      <c r="N5" s="53"/>
      <c r="O5" s="53"/>
      <c r="P5" s="53"/>
      <c r="Q5" s="53"/>
      <c r="R5" s="53"/>
      <c r="S5" s="53"/>
      <c r="T5" s="53"/>
      <c r="U5" s="53"/>
      <c r="V5" s="53"/>
      <c r="W5" s="53"/>
      <c r="X5" s="53"/>
      <c r="Y5" s="53"/>
      <c r="Z5" s="53"/>
      <c r="AA5" s="53"/>
      <c r="AB5" s="53"/>
      <c r="AC5" s="53"/>
      <c r="AD5" s="53"/>
      <c r="AE5" s="53"/>
    </row>
    <row r="6" spans="2:31" x14ac:dyDescent="0.3">
      <c r="B6" s="53"/>
      <c r="C6" s="53"/>
      <c r="D6" s="75" t="s">
        <v>3</v>
      </c>
      <c r="E6" s="75"/>
      <c r="F6" s="75"/>
      <c r="G6" s="76">
        <f>IF(D22=0,C19*C20,0)</f>
        <v>9600</v>
      </c>
      <c r="H6" s="121">
        <f t="shared" si="0"/>
        <v>40</v>
      </c>
      <c r="I6" s="53"/>
      <c r="J6" s="53"/>
      <c r="K6" s="53"/>
      <c r="L6" s="53"/>
      <c r="M6" s="53"/>
      <c r="N6" s="53"/>
      <c r="O6" s="53"/>
      <c r="P6" s="53"/>
      <c r="Q6" s="53"/>
      <c r="R6" s="53"/>
      <c r="S6" s="53"/>
      <c r="T6" s="53"/>
      <c r="U6" s="53"/>
      <c r="V6" s="53"/>
      <c r="W6" s="53"/>
      <c r="X6" s="53"/>
      <c r="Y6" s="53"/>
      <c r="Z6" s="53"/>
      <c r="AA6" s="53"/>
      <c r="AB6" s="53"/>
      <c r="AC6" s="53"/>
      <c r="AD6" s="53"/>
      <c r="AE6" s="53"/>
    </row>
    <row r="7" spans="2:31" x14ac:dyDescent="0.3">
      <c r="B7" s="182" t="s">
        <v>6</v>
      </c>
      <c r="C7" s="182"/>
      <c r="D7" s="75" t="s">
        <v>7</v>
      </c>
      <c r="E7" s="75"/>
      <c r="F7" s="75"/>
      <c r="G7" s="76">
        <f>-50*C2</f>
        <v>-12000</v>
      </c>
      <c r="H7" s="121">
        <f t="shared" si="0"/>
        <v>-50</v>
      </c>
      <c r="I7" s="53"/>
      <c r="J7" s="53"/>
      <c r="K7" s="53"/>
      <c r="L7" s="53"/>
      <c r="M7" s="53"/>
      <c r="N7" s="53"/>
      <c r="O7" s="53"/>
      <c r="P7" s="53"/>
      <c r="Q7" s="53"/>
      <c r="R7" s="53"/>
      <c r="S7" s="53"/>
      <c r="T7" s="53"/>
      <c r="U7" s="53"/>
      <c r="V7" s="53"/>
      <c r="W7" s="53"/>
      <c r="X7" s="53"/>
      <c r="Y7" s="53"/>
      <c r="Z7" s="53"/>
      <c r="AA7" s="53"/>
      <c r="AB7" s="53"/>
      <c r="AC7" s="53"/>
      <c r="AD7" s="53"/>
      <c r="AE7" s="53"/>
    </row>
    <row r="8" spans="2:31" x14ac:dyDescent="0.3">
      <c r="B8" s="53"/>
      <c r="C8" s="77"/>
      <c r="D8" s="75" t="s">
        <v>8</v>
      </c>
      <c r="E8" s="75"/>
      <c r="F8" s="75"/>
      <c r="G8" s="76">
        <v>74400</v>
      </c>
      <c r="H8" s="121">
        <f t="shared" si="0"/>
        <v>310</v>
      </c>
      <c r="I8" s="53"/>
      <c r="J8" s="53"/>
      <c r="K8" s="53"/>
      <c r="L8" s="53"/>
      <c r="M8" s="53"/>
      <c r="N8" s="53"/>
      <c r="O8" s="53"/>
      <c r="P8" s="53"/>
      <c r="Q8" s="53"/>
      <c r="R8" s="53"/>
      <c r="S8" s="53"/>
      <c r="T8" s="53"/>
      <c r="U8" s="53"/>
      <c r="V8" s="53"/>
      <c r="W8" s="53"/>
      <c r="X8" s="53"/>
      <c r="Y8" s="53"/>
      <c r="Z8" s="53"/>
      <c r="AA8" s="53"/>
      <c r="AB8" s="53"/>
      <c r="AC8" s="53"/>
      <c r="AD8" s="53"/>
      <c r="AE8" s="53"/>
    </row>
    <row r="9" spans="2:31" x14ac:dyDescent="0.3">
      <c r="B9" s="75"/>
      <c r="C9" s="75"/>
      <c r="D9" s="75" t="s">
        <v>9</v>
      </c>
      <c r="E9" s="75"/>
      <c r="F9" s="75"/>
      <c r="G9" s="76">
        <f>C2*2</f>
        <v>480</v>
      </c>
      <c r="H9" s="121">
        <f t="shared" si="0"/>
        <v>2</v>
      </c>
      <c r="I9" s="53"/>
      <c r="J9" s="53"/>
      <c r="K9" s="53"/>
      <c r="L9" s="53"/>
      <c r="M9" s="53"/>
      <c r="N9" s="53"/>
      <c r="O9" s="53"/>
      <c r="P9" s="53"/>
      <c r="Q9" s="53"/>
      <c r="R9" s="53"/>
      <c r="S9" s="53"/>
      <c r="T9" s="53"/>
      <c r="U9" s="53"/>
      <c r="V9" s="53"/>
      <c r="W9" s="53"/>
      <c r="X9" s="53"/>
      <c r="Y9" s="53"/>
      <c r="Z9" s="53"/>
      <c r="AA9" s="53"/>
      <c r="AB9" s="53"/>
      <c r="AC9" s="53"/>
      <c r="AD9" s="53"/>
      <c r="AE9" s="53"/>
    </row>
    <row r="10" spans="2:31" x14ac:dyDescent="0.3">
      <c r="B10" s="78"/>
      <c r="C10" s="75"/>
      <c r="D10" s="75" t="s">
        <v>11</v>
      </c>
      <c r="E10" s="75"/>
      <c r="F10" s="75"/>
      <c r="G10" s="76">
        <v>600</v>
      </c>
      <c r="H10" s="121">
        <f>G10/$C$2</f>
        <v>2.5</v>
      </c>
      <c r="I10" s="53"/>
      <c r="J10" s="53"/>
      <c r="K10" s="53"/>
      <c r="L10" s="53"/>
      <c r="M10" s="53"/>
      <c r="N10" s="53"/>
      <c r="O10" s="53"/>
      <c r="P10" s="53"/>
      <c r="Q10" s="53"/>
      <c r="R10" s="53"/>
      <c r="S10" s="53"/>
      <c r="T10" s="53"/>
      <c r="U10" s="53"/>
      <c r="V10" s="53"/>
      <c r="W10" s="53"/>
      <c r="X10" s="53"/>
      <c r="Y10" s="53"/>
      <c r="Z10" s="53"/>
      <c r="AA10" s="53"/>
      <c r="AB10" s="53"/>
      <c r="AC10" s="53"/>
      <c r="AD10" s="53"/>
      <c r="AE10" s="53"/>
    </row>
    <row r="11" spans="2:31" x14ac:dyDescent="0.3">
      <c r="B11" s="78"/>
      <c r="C11" s="75"/>
      <c r="D11" s="75" t="s">
        <v>14</v>
      </c>
      <c r="E11" s="75"/>
      <c r="F11" s="75"/>
      <c r="G11" s="76">
        <v>3407</v>
      </c>
      <c r="H11" s="121">
        <f>G11/$C$2</f>
        <v>14.195833333333333</v>
      </c>
      <c r="I11" s="53"/>
      <c r="J11" s="53"/>
      <c r="K11" s="53"/>
      <c r="L11" s="53"/>
      <c r="M11" s="53"/>
      <c r="N11" s="53"/>
      <c r="O11" s="53"/>
      <c r="P11" s="53"/>
      <c r="Q11" s="53"/>
      <c r="R11" s="53"/>
      <c r="S11" s="53"/>
      <c r="T11" s="53"/>
      <c r="U11" s="53"/>
      <c r="V11" s="53"/>
      <c r="W11" s="53"/>
      <c r="X11" s="53"/>
      <c r="Y11" s="53"/>
      <c r="Z11" s="53"/>
      <c r="AA11" s="53"/>
      <c r="AB11" s="53"/>
      <c r="AC11" s="53"/>
      <c r="AD11" s="53"/>
      <c r="AE11" s="53"/>
    </row>
    <row r="12" spans="2:31" x14ac:dyDescent="0.3">
      <c r="B12" s="78"/>
      <c r="C12" s="75"/>
      <c r="D12" s="75" t="s">
        <v>16</v>
      </c>
      <c r="E12" s="75"/>
      <c r="F12" s="75"/>
      <c r="G12" s="76">
        <f>SUM(G5:G11)</f>
        <v>76727</v>
      </c>
      <c r="H12" s="121">
        <f>SUM(H5:H11)</f>
        <v>319.69583333333333</v>
      </c>
      <c r="I12" s="53"/>
      <c r="J12" s="53"/>
      <c r="K12" s="53"/>
      <c r="L12" s="53"/>
      <c r="M12" s="53"/>
      <c r="N12" s="53"/>
      <c r="O12" s="53"/>
      <c r="P12" s="53"/>
      <c r="Q12" s="53"/>
      <c r="R12" s="53"/>
      <c r="S12" s="53"/>
      <c r="T12" s="53"/>
      <c r="U12" s="53"/>
      <c r="V12" s="53"/>
      <c r="W12" s="53"/>
      <c r="X12" s="53"/>
      <c r="Y12" s="53"/>
      <c r="Z12" s="53"/>
      <c r="AA12" s="53"/>
      <c r="AB12" s="53"/>
      <c r="AC12" s="53"/>
      <c r="AD12" s="53"/>
      <c r="AE12" s="53"/>
    </row>
    <row r="13" spans="2:31" x14ac:dyDescent="0.3">
      <c r="B13" s="78"/>
      <c r="C13" s="75"/>
      <c r="D13" s="75" t="s">
        <v>121</v>
      </c>
      <c r="E13" s="75"/>
      <c r="F13" s="75"/>
      <c r="G13" s="76">
        <v>0</v>
      </c>
      <c r="H13" s="121">
        <f t="shared" ref="H13:H14" si="1">G13/$C$2</f>
        <v>0</v>
      </c>
      <c r="I13" s="53"/>
      <c r="J13" s="53"/>
      <c r="K13" s="53"/>
      <c r="L13" s="53"/>
      <c r="M13" s="53"/>
      <c r="N13" s="53"/>
      <c r="O13" s="53"/>
      <c r="P13" s="53"/>
      <c r="Q13" s="53"/>
      <c r="R13" s="53"/>
      <c r="S13" s="53"/>
      <c r="T13" s="53"/>
      <c r="U13" s="53"/>
      <c r="V13" s="53"/>
      <c r="W13" s="53"/>
      <c r="X13" s="53"/>
      <c r="Y13" s="53"/>
      <c r="Z13" s="53"/>
      <c r="AA13" s="53"/>
      <c r="AB13" s="53"/>
      <c r="AC13" s="53"/>
      <c r="AD13" s="53"/>
      <c r="AE13" s="53"/>
    </row>
    <row r="14" spans="2:31" x14ac:dyDescent="0.3">
      <c r="B14" s="78"/>
      <c r="C14" s="75"/>
      <c r="D14" s="75" t="s">
        <v>122</v>
      </c>
      <c r="E14" s="75"/>
      <c r="F14" s="75"/>
      <c r="G14" s="76">
        <f>G12+G13</f>
        <v>76727</v>
      </c>
      <c r="H14" s="121">
        <f t="shared" si="1"/>
        <v>319.69583333333333</v>
      </c>
      <c r="I14" s="53"/>
      <c r="J14" s="53"/>
      <c r="K14" s="53"/>
      <c r="L14" s="53"/>
      <c r="M14" s="53"/>
      <c r="N14" s="53"/>
      <c r="O14" s="53"/>
      <c r="P14" s="53"/>
      <c r="Q14" s="53"/>
      <c r="R14" s="53"/>
      <c r="S14" s="53"/>
      <c r="T14" s="53"/>
      <c r="U14" s="53"/>
      <c r="V14" s="53"/>
      <c r="W14" s="53"/>
      <c r="X14" s="53"/>
      <c r="Y14" s="53"/>
      <c r="Z14" s="53"/>
      <c r="AA14" s="53"/>
      <c r="AB14" s="53"/>
      <c r="AC14" s="53"/>
      <c r="AD14" s="53"/>
      <c r="AE14" s="53"/>
    </row>
    <row r="15" spans="2:31" x14ac:dyDescent="0.3">
      <c r="B15" s="79"/>
      <c r="C15" s="75"/>
      <c r="D15" s="75" t="s">
        <v>17</v>
      </c>
      <c r="E15" s="75"/>
      <c r="F15" s="75"/>
      <c r="G15" s="76">
        <f>G12/C2</f>
        <v>319.69583333333333</v>
      </c>
      <c r="H15" s="53"/>
      <c r="I15" s="53"/>
      <c r="J15" s="53"/>
      <c r="K15" s="53"/>
      <c r="L15" s="53"/>
      <c r="M15" s="53"/>
      <c r="N15" s="53"/>
      <c r="O15" s="53"/>
      <c r="P15" s="53"/>
      <c r="Q15" s="53"/>
      <c r="R15" s="53"/>
      <c r="S15" s="53"/>
      <c r="T15" s="53"/>
      <c r="U15" s="53"/>
      <c r="V15" s="53"/>
      <c r="W15" s="53"/>
      <c r="X15" s="53"/>
      <c r="Y15" s="53"/>
      <c r="Z15" s="53"/>
      <c r="AA15" s="53"/>
      <c r="AB15" s="53"/>
      <c r="AC15" s="53"/>
      <c r="AD15" s="53"/>
      <c r="AE15" s="53"/>
    </row>
    <row r="16" spans="2:31" x14ac:dyDescent="0.3">
      <c r="B16" s="53"/>
      <c r="C16" s="53"/>
      <c r="D16" s="75" t="s">
        <v>144</v>
      </c>
      <c r="E16" s="53"/>
      <c r="F16" s="53"/>
      <c r="G16" s="53">
        <f>$C$2*8766*1000/10^6*'Input Sheet'!D5</f>
        <v>483.88320000000004</v>
      </c>
      <c r="H16" s="53">
        <f>$C$2*8766*1000/10^6*'Input Sheet'!E5</f>
        <v>483.88320000000004</v>
      </c>
      <c r="I16" s="53">
        <f>$C$2*8766*1000/10^6*'Input Sheet'!F5</f>
        <v>483.88320000000004</v>
      </c>
      <c r="J16" s="53">
        <f>$C$2*8766*1000/10^6*'Input Sheet'!G5</f>
        <v>483.88320000000004</v>
      </c>
      <c r="K16" s="53">
        <f>$C$2*8766*1000/10^6*'Input Sheet'!H5</f>
        <v>483.88320000000004</v>
      </c>
      <c r="L16" s="53">
        <f>$C$2*8766*1000/10^6*'Input Sheet'!I5</f>
        <v>483.88320000000004</v>
      </c>
      <c r="M16" s="53">
        <f>$C$2*8766*1000/10^6*'Input Sheet'!J5</f>
        <v>483.88320000000004</v>
      </c>
      <c r="N16" s="53">
        <f>$C$2*8766*1000/10^6*'Input Sheet'!K5</f>
        <v>483.88320000000004</v>
      </c>
      <c r="O16" s="53">
        <f>$C$2*8766*1000/10^6*'Input Sheet'!L5</f>
        <v>483.88320000000004</v>
      </c>
      <c r="P16" s="53">
        <f>$C$2*8766*1000/10^6*'Input Sheet'!M5</f>
        <v>483.88320000000004</v>
      </c>
      <c r="Q16" s="53">
        <f>$C$2*8766*1000/10^6*'Input Sheet'!N5</f>
        <v>483.88320000000004</v>
      </c>
      <c r="R16" s="53">
        <f>$C$2*8766*1000/10^6*'Input Sheet'!O5</f>
        <v>483.88320000000004</v>
      </c>
      <c r="S16" s="53">
        <f>$C$2*8766*1000/10^6*'Input Sheet'!P5</f>
        <v>483.88320000000004</v>
      </c>
      <c r="T16" s="53">
        <f>$C$2*8766*1000/10^6*'Input Sheet'!Q5</f>
        <v>483.88320000000004</v>
      </c>
      <c r="U16" s="53">
        <f>$C$2*8766*1000/10^6*'Input Sheet'!R5</f>
        <v>483.88320000000004</v>
      </c>
      <c r="V16" s="53">
        <f>$C$2*8766*1000/10^6*'Input Sheet'!S5</f>
        <v>483.88320000000004</v>
      </c>
      <c r="W16" s="53">
        <f>$C$2*8766*1000/10^6*'Input Sheet'!T5</f>
        <v>483.88320000000004</v>
      </c>
      <c r="X16" s="53">
        <f>$C$2*8766*1000/10^6*'Input Sheet'!U5</f>
        <v>483.88320000000004</v>
      </c>
      <c r="Y16" s="53">
        <f>$C$2*8766*1000/10^6*'Input Sheet'!V5</f>
        <v>483.88320000000004</v>
      </c>
      <c r="Z16" s="53">
        <f>$C$2*8766*1000/10^6*'Input Sheet'!W5</f>
        <v>483.88320000000004</v>
      </c>
      <c r="AA16" s="53">
        <f>$C$2*8766*1000/10^6*'Input Sheet'!X5</f>
        <v>483.88320000000004</v>
      </c>
      <c r="AB16" s="53">
        <f>$C$2*8766*1000/10^6*'Input Sheet'!Y5</f>
        <v>483.88320000000004</v>
      </c>
      <c r="AC16" s="53">
        <f>$C$2*8766*1000/10^6*'Input Sheet'!Z5</f>
        <v>483.88320000000004</v>
      </c>
      <c r="AD16" s="53">
        <f>$C$2*8766*1000/10^6*'Input Sheet'!AA5</f>
        <v>483.88320000000004</v>
      </c>
      <c r="AE16" s="53">
        <f>$C$2*8766*1000/10^6*'Input Sheet'!AB5</f>
        <v>483.88320000000004</v>
      </c>
    </row>
    <row r="17" spans="2:31" x14ac:dyDescent="0.3">
      <c r="B17" s="53"/>
      <c r="C17" s="53"/>
      <c r="D17" s="75" t="s">
        <v>145</v>
      </c>
      <c r="E17" s="53"/>
      <c r="F17" s="53"/>
      <c r="G17" s="53">
        <f>G16*(1-'Input Sheet'!D6)</f>
        <v>435.49488000000002</v>
      </c>
      <c r="H17" s="53">
        <f>H16*(1-'Input Sheet'!E6)</f>
        <v>435.49488000000002</v>
      </c>
      <c r="I17" s="53">
        <f>I16*(1-'Input Sheet'!F6)</f>
        <v>435.49488000000002</v>
      </c>
      <c r="J17" s="53">
        <f>J16*(1-'Input Sheet'!G6)</f>
        <v>435.49488000000002</v>
      </c>
      <c r="K17" s="53">
        <f>K16*(1-'Input Sheet'!H6)</f>
        <v>435.49488000000002</v>
      </c>
      <c r="L17" s="53">
        <f>L16*(1-'Input Sheet'!I6)</f>
        <v>435.49488000000002</v>
      </c>
      <c r="M17" s="53">
        <f>M16*(1-'Input Sheet'!J6)</f>
        <v>435.49488000000002</v>
      </c>
      <c r="N17" s="53">
        <f>N16*(1-'Input Sheet'!K6)</f>
        <v>435.49488000000002</v>
      </c>
      <c r="O17" s="53">
        <f>O16*(1-'Input Sheet'!L6)</f>
        <v>435.49488000000002</v>
      </c>
      <c r="P17" s="53">
        <f>P16*(1-'Input Sheet'!M6)</f>
        <v>435.49488000000002</v>
      </c>
      <c r="Q17" s="53">
        <f>Q16*(1-'Input Sheet'!N6)</f>
        <v>435.49488000000002</v>
      </c>
      <c r="R17" s="53">
        <f>R16*(1-'Input Sheet'!O6)</f>
        <v>435.49488000000002</v>
      </c>
      <c r="S17" s="53">
        <f>S16*(1-'Input Sheet'!P6)</f>
        <v>435.49488000000002</v>
      </c>
      <c r="T17" s="53">
        <f>T16*(1-'Input Sheet'!Q6)</f>
        <v>435.49488000000002</v>
      </c>
      <c r="U17" s="53">
        <f>U16*(1-'Input Sheet'!R6)</f>
        <v>435.49488000000002</v>
      </c>
      <c r="V17" s="53">
        <f>V16*(1-'Input Sheet'!S6)</f>
        <v>435.49488000000002</v>
      </c>
      <c r="W17" s="53">
        <f>W16*(1-'Input Sheet'!T6)</f>
        <v>435.49488000000002</v>
      </c>
      <c r="X17" s="53">
        <f>X16*(1-'Input Sheet'!U6)</f>
        <v>435.49488000000002</v>
      </c>
      <c r="Y17" s="53">
        <f>Y16*(1-'Input Sheet'!V6)</f>
        <v>435.49488000000002</v>
      </c>
      <c r="Z17" s="53">
        <f>Z16*(1-'Input Sheet'!W6)</f>
        <v>435.49488000000002</v>
      </c>
      <c r="AA17" s="53">
        <f>AA16*(1-'Input Sheet'!X6)</f>
        <v>435.49488000000002</v>
      </c>
      <c r="AB17" s="53">
        <f>AB16*(1-'Input Sheet'!Y6)</f>
        <v>435.49488000000002</v>
      </c>
      <c r="AC17" s="53">
        <f>AC16*(1-'Input Sheet'!Z6)</f>
        <v>435.49488000000002</v>
      </c>
      <c r="AD17" s="53">
        <f>AD16*(1-'Input Sheet'!AA6)</f>
        <v>435.49488000000002</v>
      </c>
      <c r="AE17" s="53">
        <f>AE16*(1-'Input Sheet'!AB6)</f>
        <v>435.49488000000002</v>
      </c>
    </row>
    <row r="18" spans="2:31" x14ac:dyDescent="0.3">
      <c r="B18" s="81" t="s">
        <v>210</v>
      </c>
      <c r="C18" s="82">
        <v>4</v>
      </c>
      <c r="D18" s="83" t="s">
        <v>175</v>
      </c>
      <c r="H18" t="s">
        <v>201</v>
      </c>
      <c r="I18" t="s">
        <v>202</v>
      </c>
      <c r="J18" t="s">
        <v>203</v>
      </c>
      <c r="L18" t="s">
        <v>204</v>
      </c>
    </row>
    <row r="19" spans="2:31" x14ac:dyDescent="0.3">
      <c r="B19" s="116" t="s">
        <v>174</v>
      </c>
      <c r="C19" s="115">
        <f>C18*C2</f>
        <v>960</v>
      </c>
      <c r="D19" s="117" t="s">
        <v>175</v>
      </c>
      <c r="G19" t="s">
        <v>19</v>
      </c>
      <c r="H19" s="100">
        <v>0.3</v>
      </c>
      <c r="I19" s="101">
        <v>0.12</v>
      </c>
      <c r="J19" s="101">
        <v>0.03</v>
      </c>
      <c r="K19" s="1">
        <f>ROUND(H19*(1+I19)*(1+J19),4)</f>
        <v>0.34610000000000002</v>
      </c>
      <c r="L19" s="102" t="s">
        <v>205</v>
      </c>
    </row>
    <row r="20" spans="2:31" x14ac:dyDescent="0.3">
      <c r="B20" s="84" t="s">
        <v>176</v>
      </c>
      <c r="C20" s="85">
        <v>10</v>
      </c>
      <c r="D20" s="86" t="s">
        <v>209</v>
      </c>
      <c r="G20" t="s">
        <v>200</v>
      </c>
      <c r="H20" s="100">
        <v>0.185</v>
      </c>
      <c r="I20" s="101">
        <v>0.12</v>
      </c>
      <c r="J20" s="101">
        <v>0.03</v>
      </c>
      <c r="K20" s="1">
        <f>ROUND(H20*(1+I20)*(1+J20),4)</f>
        <v>0.21340000000000001</v>
      </c>
      <c r="L20" t="s">
        <v>206</v>
      </c>
    </row>
    <row r="21" spans="2:31" x14ac:dyDescent="0.3">
      <c r="B21" t="s">
        <v>178</v>
      </c>
      <c r="C21">
        <v>3</v>
      </c>
      <c r="D21" t="s">
        <v>23</v>
      </c>
      <c r="H21" s="102"/>
    </row>
    <row r="22" spans="2:31" x14ac:dyDescent="0.3">
      <c r="B22" s="89" t="s">
        <v>179</v>
      </c>
      <c r="C22" s="90"/>
      <c r="D22" s="91">
        <v>0</v>
      </c>
      <c r="E22" s="92" t="s">
        <v>10</v>
      </c>
    </row>
    <row r="23" spans="2:31" x14ac:dyDescent="0.3">
      <c r="B23" s="93" t="s">
        <v>12</v>
      </c>
      <c r="C23" s="87"/>
      <c r="D23" s="88">
        <v>0</v>
      </c>
      <c r="E23" s="94" t="s">
        <v>13</v>
      </c>
    </row>
    <row r="24" spans="2:31" x14ac:dyDescent="0.3">
      <c r="B24" s="95" t="s">
        <v>15</v>
      </c>
      <c r="C24" s="96"/>
      <c r="D24" s="97">
        <v>0</v>
      </c>
      <c r="E24" s="98"/>
    </row>
  </sheetData>
  <mergeCells count="1">
    <mergeCell ref="B7:C7"/>
  </mergeCells>
  <phoneticPr fontId="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Default">
                <anchor moveWithCells="1" sizeWithCells="1">
                  <from>
                    <xdr:col>4</xdr:col>
                    <xdr:colOff>38100</xdr:colOff>
                    <xdr:row>1</xdr:row>
                    <xdr:rowOff>22860</xdr:rowOff>
                  </from>
                  <to>
                    <xdr:col>4</xdr:col>
                    <xdr:colOff>723900</xdr:colOff>
                    <xdr:row>1</xdr:row>
                    <xdr:rowOff>175260</xdr:rowOff>
                  </to>
                </anchor>
              </controlPr>
            </control>
          </mc:Choice>
        </mc:AlternateContent>
        <mc:AlternateContent xmlns:mc="http://schemas.openxmlformats.org/markup-compatibility/2006">
          <mc:Choice Requires="x14">
            <control shapeId="4098" r:id="rId4" name="Option Button 2">
              <controlPr defaultSize="0" autoFill="0" autoLine="0" autoPict="0" macro="[0]!Default_ST">
                <anchor moveWithCells="1">
                  <from>
                    <xdr:col>1</xdr:col>
                    <xdr:colOff>762000</xdr:colOff>
                    <xdr:row>0</xdr:row>
                    <xdr:rowOff>38100</xdr:rowOff>
                  </from>
                  <to>
                    <xdr:col>2</xdr:col>
                    <xdr:colOff>419100</xdr:colOff>
                    <xdr:row>0</xdr:row>
                    <xdr:rowOff>182880</xdr:rowOff>
                  </to>
                </anchor>
              </controlPr>
            </control>
          </mc:Choice>
        </mc:AlternateContent>
        <mc:AlternateContent xmlns:mc="http://schemas.openxmlformats.org/markup-compatibility/2006">
          <mc:Choice Requires="x14">
            <control shapeId="4099" r:id="rId5" name="Option Button 3">
              <controlPr defaultSize="0" autoFill="0" autoLine="0" autoPict="0" macro="[0]!Default">
                <anchor moveWithCells="1">
                  <from>
                    <xdr:col>2</xdr:col>
                    <xdr:colOff>601980</xdr:colOff>
                    <xdr:row>0</xdr:row>
                    <xdr:rowOff>30480</xdr:rowOff>
                  </from>
                  <to>
                    <xdr:col>3</xdr:col>
                    <xdr:colOff>594360</xdr:colOff>
                    <xdr:row>0</xdr:row>
                    <xdr:rowOff>182880</xdr:rowOff>
                  </to>
                </anchor>
              </controlPr>
            </control>
          </mc:Choice>
        </mc:AlternateContent>
        <mc:AlternateContent xmlns:mc="http://schemas.openxmlformats.org/markup-compatibility/2006">
          <mc:Choice Requires="x14">
            <control shapeId="4100" r:id="rId6" name="Button 4">
              <controlPr defaultSize="0" print="0" autoFill="0" autoPict="0" macro="[0]!Default_ST">
                <anchor moveWithCells="1" sizeWithCells="1">
                  <from>
                    <xdr:col>4</xdr:col>
                    <xdr:colOff>30480</xdr:colOff>
                    <xdr:row>2</xdr:row>
                    <xdr:rowOff>38100</xdr:rowOff>
                  </from>
                  <to>
                    <xdr:col>4</xdr:col>
                    <xdr:colOff>716280</xdr:colOff>
                    <xdr:row>2</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A3F0-2130-4A51-BD27-9C85C512B064}">
  <sheetPr codeName="Sheet7"/>
  <dimension ref="A1:AD23"/>
  <sheetViews>
    <sheetView workbookViewId="0">
      <pane xSplit="3" ySplit="2" topLeftCell="D3" activePane="bottomRight" state="frozen"/>
      <selection pane="topRight" activeCell="D1" sqref="D1"/>
      <selection pane="bottomLeft" activeCell="A3" sqref="A3"/>
      <selection pane="bottomRight" activeCell="M23" sqref="M23"/>
    </sheetView>
  </sheetViews>
  <sheetFormatPr defaultRowHeight="14.4" x14ac:dyDescent="0.3"/>
  <cols>
    <col min="2" max="2" width="25.6640625" bestFit="1" customWidth="1"/>
    <col min="3" max="3" width="14.88671875" bestFit="1" customWidth="1"/>
    <col min="4" max="6" width="12.33203125" bestFit="1" customWidth="1"/>
    <col min="7" max="16" width="10.6640625" bestFit="1" customWidth="1"/>
    <col min="17" max="24" width="12" bestFit="1" customWidth="1"/>
    <col min="25" max="28" width="10.6640625" bestFit="1" customWidth="1"/>
  </cols>
  <sheetData>
    <row r="1" spans="1:28" x14ac:dyDescent="0.3">
      <c r="A1" s="4"/>
      <c r="B1" s="4"/>
      <c r="C1" s="5" t="s">
        <v>74</v>
      </c>
      <c r="D1" s="5" t="s">
        <v>75</v>
      </c>
      <c r="E1" s="5" t="s">
        <v>76</v>
      </c>
      <c r="F1" s="5" t="s">
        <v>77</v>
      </c>
      <c r="G1" s="5" t="s">
        <v>150</v>
      </c>
      <c r="H1" s="5" t="s">
        <v>149</v>
      </c>
      <c r="I1" s="5" t="s">
        <v>80</v>
      </c>
      <c r="J1" s="5" t="s">
        <v>81</v>
      </c>
      <c r="K1" s="5" t="s">
        <v>82</v>
      </c>
      <c r="L1" s="5" t="s">
        <v>83</v>
      </c>
      <c r="M1" s="5" t="s">
        <v>84</v>
      </c>
      <c r="N1" s="5" t="s">
        <v>85</v>
      </c>
      <c r="O1" s="5" t="s">
        <v>86</v>
      </c>
      <c r="P1" s="5" t="s">
        <v>87</v>
      </c>
      <c r="Q1" s="5" t="s">
        <v>88</v>
      </c>
      <c r="R1" s="5" t="s">
        <v>89</v>
      </c>
      <c r="S1" s="5" t="s">
        <v>90</v>
      </c>
      <c r="T1" s="5" t="s">
        <v>91</v>
      </c>
      <c r="U1" s="5" t="s">
        <v>92</v>
      </c>
      <c r="V1" s="5" t="s">
        <v>93</v>
      </c>
      <c r="W1" s="5" t="s">
        <v>94</v>
      </c>
      <c r="X1" s="5" t="s">
        <v>95</v>
      </c>
      <c r="Y1" s="5" t="s">
        <v>96</v>
      </c>
      <c r="Z1" s="5" t="s">
        <v>97</v>
      </c>
      <c r="AA1" s="5" t="s">
        <v>98</v>
      </c>
      <c r="AB1" s="5" t="s">
        <v>99</v>
      </c>
    </row>
    <row r="2" spans="1:28" x14ac:dyDescent="0.3">
      <c r="A2" s="4"/>
      <c r="B2" s="5" t="s">
        <v>30</v>
      </c>
      <c r="C2" s="5" t="s">
        <v>22</v>
      </c>
      <c r="D2" s="5">
        <v>1</v>
      </c>
      <c r="E2" s="5">
        <v>2</v>
      </c>
      <c r="F2" s="5">
        <v>3</v>
      </c>
      <c r="G2" s="5">
        <v>4</v>
      </c>
      <c r="H2" s="5">
        <v>5</v>
      </c>
      <c r="I2" s="5">
        <v>6</v>
      </c>
      <c r="J2" s="5">
        <v>7</v>
      </c>
      <c r="K2" s="5">
        <v>8</v>
      </c>
      <c r="L2" s="5">
        <v>9</v>
      </c>
      <c r="M2" s="5">
        <v>10</v>
      </c>
      <c r="N2" s="5">
        <v>11</v>
      </c>
      <c r="O2" s="5">
        <v>12</v>
      </c>
      <c r="P2" s="5">
        <v>13</v>
      </c>
      <c r="Q2" s="5">
        <v>14</v>
      </c>
      <c r="R2" s="5">
        <v>15</v>
      </c>
      <c r="S2" s="5">
        <v>16</v>
      </c>
      <c r="T2" s="5">
        <v>17</v>
      </c>
      <c r="U2" s="5">
        <v>18</v>
      </c>
      <c r="V2" s="5">
        <v>19</v>
      </c>
      <c r="W2" s="5">
        <v>20</v>
      </c>
      <c r="X2" s="5">
        <v>21</v>
      </c>
      <c r="Y2" s="5">
        <v>22</v>
      </c>
      <c r="Z2" s="5">
        <v>23</v>
      </c>
      <c r="AA2" s="5">
        <v>24</v>
      </c>
      <c r="AB2" s="5">
        <v>25</v>
      </c>
    </row>
    <row r="3" spans="1:28" x14ac:dyDescent="0.3">
      <c r="A3" s="4"/>
      <c r="B3" s="4" t="s">
        <v>151</v>
      </c>
      <c r="C3" s="4" t="s">
        <v>10</v>
      </c>
      <c r="D3" s="70">
        <f>'Cost Requirement'!G14</f>
        <v>76727</v>
      </c>
      <c r="E3" s="71">
        <v>0</v>
      </c>
      <c r="F3" s="71">
        <v>0</v>
      </c>
      <c r="G3" s="71">
        <v>0</v>
      </c>
      <c r="H3" s="71">
        <v>0</v>
      </c>
      <c r="I3" s="71">
        <v>0</v>
      </c>
      <c r="J3" s="71">
        <v>0</v>
      </c>
      <c r="K3" s="71">
        <v>0</v>
      </c>
      <c r="L3" s="71">
        <v>0</v>
      </c>
      <c r="M3" s="71">
        <v>0</v>
      </c>
      <c r="N3" s="71">
        <v>0</v>
      </c>
      <c r="O3" s="71">
        <v>0</v>
      </c>
      <c r="P3" s="71">
        <v>0</v>
      </c>
      <c r="Q3" s="71">
        <v>0</v>
      </c>
      <c r="R3" s="71">
        <v>0</v>
      </c>
      <c r="S3" s="71">
        <v>0</v>
      </c>
      <c r="T3" s="71">
        <v>0</v>
      </c>
      <c r="U3" s="71">
        <v>0</v>
      </c>
      <c r="V3" s="71">
        <v>0</v>
      </c>
      <c r="W3" s="71">
        <v>0</v>
      </c>
      <c r="X3" s="71">
        <v>0</v>
      </c>
      <c r="Y3" s="71">
        <v>0</v>
      </c>
      <c r="Z3" s="71">
        <v>0</v>
      </c>
      <c r="AA3" s="71">
        <v>0</v>
      </c>
      <c r="AB3" s="71">
        <v>0</v>
      </c>
    </row>
    <row r="4" spans="1:28" x14ac:dyDescent="0.3">
      <c r="A4" s="4"/>
      <c r="B4" s="4" t="s">
        <v>143</v>
      </c>
      <c r="C4" s="4" t="s">
        <v>10</v>
      </c>
      <c r="D4" s="70">
        <f>'Basic Tariff Model'!E58</f>
        <v>3721.1981183999992</v>
      </c>
      <c r="E4" s="70">
        <f>'Basic Tariff Model'!F58</f>
        <v>3429.5127551999994</v>
      </c>
      <c r="F4" s="70">
        <f>'Basic Tariff Model'!G58</f>
        <v>3137.8273919999992</v>
      </c>
      <c r="G4" s="70">
        <f>'Basic Tariff Model'!H58</f>
        <v>2846.1420287999995</v>
      </c>
      <c r="H4" s="70">
        <f>'Basic Tariff Model'!I58</f>
        <v>2554.4566655999993</v>
      </c>
      <c r="I4" s="70">
        <f>'Basic Tariff Model'!J58</f>
        <v>2262.7713023999995</v>
      </c>
      <c r="J4" s="70">
        <f>'Basic Tariff Model'!K58</f>
        <v>1971.0859391999993</v>
      </c>
      <c r="K4" s="70">
        <f>'Basic Tariff Model'!L58</f>
        <v>1679.4005759999995</v>
      </c>
      <c r="L4" s="70">
        <f>'Basic Tariff Model'!M58</f>
        <v>1387.7152127999991</v>
      </c>
      <c r="M4" s="70">
        <f>'Basic Tariff Model'!N58</f>
        <v>1096.0298495999994</v>
      </c>
      <c r="N4" s="70">
        <f>'Basic Tariff Model'!O58</f>
        <v>804.34448639999948</v>
      </c>
      <c r="O4" s="70">
        <f>'Basic Tariff Model'!P58</f>
        <v>512.65912319999973</v>
      </c>
      <c r="P4" s="70">
        <f>'Basic Tariff Model'!Q58</f>
        <v>220.97376</v>
      </c>
      <c r="Q4" s="70">
        <f>'Basic Tariff Model'!R58</f>
        <v>37.56553920000011</v>
      </c>
      <c r="R4" s="70">
        <f>'Basic Tariff Model'!S58</f>
        <v>0</v>
      </c>
      <c r="S4" s="70">
        <f>'Basic Tariff Model'!T58</f>
        <v>0</v>
      </c>
      <c r="T4" s="70">
        <f>'Basic Tariff Model'!U58</f>
        <v>0</v>
      </c>
      <c r="U4" s="70">
        <f>'Basic Tariff Model'!V58</f>
        <v>0</v>
      </c>
      <c r="V4" s="70">
        <f>'Basic Tariff Model'!W58</f>
        <v>0</v>
      </c>
      <c r="W4" s="70">
        <f>'Basic Tariff Model'!X58</f>
        <v>0</v>
      </c>
      <c r="X4" s="70">
        <f>'Basic Tariff Model'!Y58</f>
        <v>0</v>
      </c>
      <c r="Y4" s="70">
        <f>'Basic Tariff Model'!Z58</f>
        <v>0</v>
      </c>
      <c r="Z4" s="70">
        <f>'Basic Tariff Model'!AA58</f>
        <v>0</v>
      </c>
      <c r="AA4" s="70">
        <f>'Basic Tariff Model'!AB58</f>
        <v>0</v>
      </c>
      <c r="AB4" s="70">
        <f>'Basic Tariff Model'!AC58</f>
        <v>0</v>
      </c>
    </row>
    <row r="5" spans="1:28" x14ac:dyDescent="0.3">
      <c r="A5" s="4"/>
      <c r="B5" s="4" t="s">
        <v>152</v>
      </c>
      <c r="C5" s="4" t="s">
        <v>10</v>
      </c>
      <c r="D5" s="70">
        <f ca="1">'Basic Tariff Model'!E60</f>
        <v>308.47575086128398</v>
      </c>
      <c r="E5" s="70">
        <f ca="1">'Basic Tariff Model'!F60</f>
        <v>304.98036366525452</v>
      </c>
      <c r="F5" s="70">
        <f ca="1">'Basic Tariff Model'!G60</f>
        <v>302.70956996970165</v>
      </c>
      <c r="G5" s="70">
        <f ca="1">'Basic Tariff Model'!H60</f>
        <v>299.48310659589703</v>
      </c>
      <c r="H5" s="70">
        <f ca="1">'Basic Tariff Model'!I60</f>
        <v>297.55131267888299</v>
      </c>
      <c r="I5" s="70">
        <f ca="1">'Basic Tariff Model'!J60</f>
        <v>320.89930970713755</v>
      </c>
      <c r="J5" s="70">
        <f ca="1">'Basic Tariff Model'!K60</f>
        <v>321.49853486864953</v>
      </c>
      <c r="K5" s="70">
        <f ca="1">'Basic Tariff Model'!L60</f>
        <v>321.18772036607049</v>
      </c>
      <c r="L5" s="70">
        <f ca="1">'Basic Tariff Model'!M60</f>
        <v>321.1897866483821</v>
      </c>
      <c r="M5" s="70">
        <f ca="1">'Basic Tariff Model'!N60</f>
        <v>321.52263049648008</v>
      </c>
      <c r="N5" s="70">
        <f ca="1">'Basic Tariff Model'!O60</f>
        <v>338.68198967625005</v>
      </c>
      <c r="O5" s="70">
        <f ca="1">'Basic Tariff Model'!P60</f>
        <v>339.73423233748071</v>
      </c>
      <c r="P5" s="70">
        <f ca="1">'Basic Tariff Model'!Q60</f>
        <v>341.17732265337185</v>
      </c>
      <c r="Q5" s="70">
        <f ca="1">'Basic Tariff Model'!R60</f>
        <v>291.95808728073263</v>
      </c>
      <c r="R5" s="70">
        <f ca="1">'Basic Tariff Model'!S60</f>
        <v>299.28748785033127</v>
      </c>
      <c r="S5" s="70">
        <f ca="1">'Basic Tariff Model'!T60</f>
        <v>307.8232066504641</v>
      </c>
      <c r="T5" s="70">
        <f ca="1">'Basic Tariff Model'!U60</f>
        <v>316.84716856596452</v>
      </c>
      <c r="U5" s="70">
        <f ca="1">'Basic Tariff Model'!V60</f>
        <v>326.38730110303152</v>
      </c>
      <c r="V5" s="70">
        <f ca="1">'Basic Tariff Model'!W60</f>
        <v>336.47312922121876</v>
      </c>
      <c r="W5" s="70">
        <f ca="1">'Basic Tariff Model'!X60</f>
        <v>347.13586670776635</v>
      </c>
      <c r="X5" s="70">
        <f ca="1">'Basic Tariff Model'!Y60</f>
        <v>358.40851277854443</v>
      </c>
      <c r="Y5" s="70">
        <f ca="1">'Basic Tariff Model'!Z60</f>
        <v>370.32595420457108</v>
      </c>
      <c r="Z5" s="70">
        <f ca="1">'Basic Tariff Model'!AA60</f>
        <v>382.92507328016637</v>
      </c>
      <c r="AA5" s="70">
        <f ca="1">'Basic Tariff Model'!AB60</f>
        <v>396.24486196688571</v>
      </c>
      <c r="AB5" s="70">
        <f ca="1">'Basic Tariff Model'!AC60</f>
        <v>410.32654256648539</v>
      </c>
    </row>
    <row r="6" spans="1:28" x14ac:dyDescent="0.3">
      <c r="A6" s="4"/>
      <c r="B6" s="4" t="s">
        <v>133</v>
      </c>
      <c r="C6" s="4" t="s">
        <v>10</v>
      </c>
      <c r="D6" s="70">
        <f>'Basic Tariff Model'!E56</f>
        <v>1539.954</v>
      </c>
      <c r="E6" s="70">
        <f>'Basic Tariff Model'!F56</f>
        <v>1588.002</v>
      </c>
      <c r="F6" s="70">
        <f>'Basic Tariff Model'!G56</f>
        <v>1661.7960455999998</v>
      </c>
      <c r="G6" s="70">
        <f>'Basic Tariff Model'!H56</f>
        <v>1715.4979421683197</v>
      </c>
      <c r="H6" s="70">
        <f>'Basic Tariff Model'!I56</f>
        <v>1796.4191722203477</v>
      </c>
      <c r="I6" s="70">
        <f>'Basic Tariff Model'!J56</f>
        <v>2408.8266874617452</v>
      </c>
      <c r="J6" s="70">
        <f>'Basic Tariff Model'!K56</f>
        <v>2542.9604591325569</v>
      </c>
      <c r="K6" s="70">
        <f>'Basic Tariff Model'!L56</f>
        <v>2657.9614143378394</v>
      </c>
      <c r="L6" s="70">
        <f>'Basic Tariff Model'!M56</f>
        <v>2779.5404241808637</v>
      </c>
      <c r="M6" s="70">
        <f>'Basic Tariff Model'!N56</f>
        <v>2908.0737533869092</v>
      </c>
      <c r="N6" s="70">
        <f>'Basic Tariff Model'!O56</f>
        <v>3043.9591890235401</v>
      </c>
      <c r="O6" s="70">
        <f>'Basic Tariff Model'!P56</f>
        <v>3187.617271578586</v>
      </c>
      <c r="P6" s="70">
        <f>'Basic Tariff Model'!Q56</f>
        <v>3339.4925964557815</v>
      </c>
      <c r="Q6" s="70">
        <f>'Basic Tariff Model'!R56</f>
        <v>3500.0551899159518</v>
      </c>
      <c r="R6" s="70">
        <f>'Basic Tariff Model'!S56</f>
        <v>3669.8019637220441</v>
      </c>
      <c r="S6" s="70">
        <f>'Basic Tariff Model'!T56</f>
        <v>3849.2582529898446</v>
      </c>
      <c r="T6" s="70">
        <f>'Basic Tariff Model'!U56</f>
        <v>4038.9794420037638</v>
      </c>
      <c r="U6" s="70">
        <f>'Basic Tariff Model'!V56</f>
        <v>4239.5526830292783</v>
      </c>
      <c r="V6" s="70">
        <f>'Basic Tariff Model'!W56</f>
        <v>4451.5987134414536</v>
      </c>
      <c r="W6" s="70">
        <f>'Basic Tariff Model'!X56</f>
        <v>4675.7737767932049</v>
      </c>
      <c r="X6" s="70">
        <f>'Basic Tariff Model'!Y56</f>
        <v>4912.7716537686756</v>
      </c>
      <c r="Y6" s="70">
        <f>'Basic Tariff Model'!Z56</f>
        <v>5163.3258093071436</v>
      </c>
      <c r="Z6" s="70">
        <f>'Basic Tariff Model'!AA56</f>
        <v>5428.2116625424114</v>
      </c>
      <c r="AA6" s="70">
        <f>'Basic Tariff Model'!AB56</f>
        <v>5708.2489865827374</v>
      </c>
      <c r="AB6" s="70">
        <f>'Basic Tariff Model'!AC56</f>
        <v>6004.3044455581694</v>
      </c>
    </row>
    <row r="7" spans="1:28" x14ac:dyDescent="0.3">
      <c r="A7" s="4"/>
      <c r="B7" s="5" t="s">
        <v>153</v>
      </c>
      <c r="C7" s="4" t="s">
        <v>10</v>
      </c>
      <c r="D7" s="70">
        <f ca="1">SUM(D3:D6)</f>
        <v>82296.627869261283</v>
      </c>
      <c r="E7" s="70">
        <f t="shared" ref="E7:AB7" ca="1" si="0">SUM(E3:E6)</f>
        <v>5322.495118865254</v>
      </c>
      <c r="F7" s="70">
        <f t="shared" ca="1" si="0"/>
        <v>5102.3330075697004</v>
      </c>
      <c r="G7" s="70">
        <f t="shared" ca="1" si="0"/>
        <v>4861.1230775642161</v>
      </c>
      <c r="H7" s="70">
        <f t="shared" ca="1" si="0"/>
        <v>4648.4271504992303</v>
      </c>
      <c r="I7" s="70">
        <f t="shared" ca="1" si="0"/>
        <v>4992.4972995688822</v>
      </c>
      <c r="J7" s="70">
        <f t="shared" ca="1" si="0"/>
        <v>4835.5449332012058</v>
      </c>
      <c r="K7" s="70">
        <f t="shared" ca="1" si="0"/>
        <v>4658.54971070391</v>
      </c>
      <c r="L7" s="70">
        <f t="shared" ca="1" si="0"/>
        <v>4488.4454236292449</v>
      </c>
      <c r="M7" s="70">
        <f t="shared" ca="1" si="0"/>
        <v>4325.6262334833882</v>
      </c>
      <c r="N7" s="70">
        <f t="shared" ca="1" si="0"/>
        <v>4186.9856650997899</v>
      </c>
      <c r="O7" s="70">
        <f t="shared" ca="1" si="0"/>
        <v>4040.0106271160666</v>
      </c>
      <c r="P7" s="70">
        <f t="shared" ca="1" si="0"/>
        <v>3901.6436791091533</v>
      </c>
      <c r="Q7" s="70">
        <f t="shared" ca="1" si="0"/>
        <v>3829.5788163966845</v>
      </c>
      <c r="R7" s="70">
        <f t="shared" ca="1" si="0"/>
        <v>3969.0894515723753</v>
      </c>
      <c r="S7" s="70">
        <f t="shared" ca="1" si="0"/>
        <v>4157.0814596403088</v>
      </c>
      <c r="T7" s="70">
        <f t="shared" ca="1" si="0"/>
        <v>4355.8266105697285</v>
      </c>
      <c r="U7" s="70">
        <f t="shared" ca="1" si="0"/>
        <v>4565.9399841323102</v>
      </c>
      <c r="V7" s="70">
        <f t="shared" ca="1" si="0"/>
        <v>4788.0718426626727</v>
      </c>
      <c r="W7" s="70">
        <f t="shared" ca="1" si="0"/>
        <v>5022.9096435009715</v>
      </c>
      <c r="X7" s="70">
        <f t="shared" ca="1" si="0"/>
        <v>5271.1801665472203</v>
      </c>
      <c r="Y7" s="70">
        <f t="shared" ca="1" si="0"/>
        <v>5533.6517635117143</v>
      </c>
      <c r="Z7" s="70">
        <f t="shared" ca="1" si="0"/>
        <v>5811.136735822578</v>
      </c>
      <c r="AA7" s="70">
        <f t="shared" ca="1" si="0"/>
        <v>6104.4938485496232</v>
      </c>
      <c r="AB7" s="70">
        <f t="shared" ca="1" si="0"/>
        <v>6414.6309881246543</v>
      </c>
    </row>
    <row r="8" spans="1:28" x14ac:dyDescent="0.3">
      <c r="A8" s="4"/>
      <c r="B8" s="4" t="s">
        <v>154</v>
      </c>
      <c r="C8" s="4" t="s">
        <v>10</v>
      </c>
      <c r="D8" s="70">
        <f ca="1">'Basic Tariff Model'!E62*'Cost Requirement'!$G$17*10</f>
        <v>13717.602180168988</v>
      </c>
      <c r="E8" s="70">
        <f ca="1">'Basic Tariff Model'!F62*'Cost Requirement'!$G$17*10</f>
        <v>13470.469429772958</v>
      </c>
      <c r="F8" s="70">
        <f ca="1">'Basic Tariff Model'!G62*'Cost Requirement'!$G$17*10</f>
        <v>13250.307318477408</v>
      </c>
      <c r="G8" s="70">
        <f ca="1">'Basic Tariff Model'!H62*'Cost Requirement'!$G$17*10</f>
        <v>13009.097388471921</v>
      </c>
      <c r="H8" s="70">
        <f ca="1">'Basic Tariff Model'!I62*'Cost Requirement'!$G$17*10</f>
        <v>12796.401461406935</v>
      </c>
      <c r="I8" s="70">
        <f ca="1">'Basic Tariff Model'!J62*'Cost Requirement'!$G$17*10</f>
        <v>13140.471610476588</v>
      </c>
      <c r="J8" s="70">
        <f ca="1">'Basic Tariff Model'!K62*'Cost Requirement'!$G$17*10</f>
        <v>12983.519244108911</v>
      </c>
      <c r="K8" s="70">
        <f ca="1">'Basic Tariff Model'!L62*'Cost Requirement'!$G$17*10</f>
        <v>12806.524021611614</v>
      </c>
      <c r="L8" s="70">
        <f ca="1">'Basic Tariff Model'!M62*'Cost Requirement'!$G$17*10</f>
        <v>12636.41973453695</v>
      </c>
      <c r="M8" s="70">
        <f ca="1">'Basic Tariff Model'!N62*'Cost Requirement'!$G$17*10</f>
        <v>12473.600544391094</v>
      </c>
      <c r="N8" s="70">
        <f ca="1">'Basic Tariff Model'!O62*'Cost Requirement'!$G$17*10</f>
        <v>13166.346827112331</v>
      </c>
      <c r="O8" s="70">
        <f ca="1">'Basic Tariff Model'!P62*'Cost Requirement'!$G$17*10</f>
        <v>13019.371789128609</v>
      </c>
      <c r="P8" s="70">
        <f ca="1">'Basic Tariff Model'!Q62*'Cost Requirement'!$G$17*10</f>
        <v>12881.004841121694</v>
      </c>
      <c r="Q8" s="70">
        <f ca="1">'Basic Tariff Model'!R62*'Cost Requirement'!$G$17*10</f>
        <v>10123.494978409226</v>
      </c>
      <c r="R8" s="70">
        <f ca="1">'Basic Tariff Model'!S62*'Cost Requirement'!$G$17*10</f>
        <v>10263.005613584917</v>
      </c>
      <c r="S8" s="70">
        <f ca="1">'Basic Tariff Model'!T62*'Cost Requirement'!$G$17*10</f>
        <v>10450.99762165285</v>
      </c>
      <c r="T8" s="70">
        <f ca="1">'Basic Tariff Model'!U62*'Cost Requirement'!$G$17*10</f>
        <v>10649.742772582271</v>
      </c>
      <c r="U8" s="70">
        <f ca="1">'Basic Tariff Model'!V62*'Cost Requirement'!$G$17*10</f>
        <v>10859.856146144852</v>
      </c>
      <c r="V8" s="70">
        <f ca="1">'Basic Tariff Model'!W62*'Cost Requirement'!$G$17*10</f>
        <v>11081.988004675213</v>
      </c>
      <c r="W8" s="70">
        <f ca="1">'Basic Tariff Model'!X62*'Cost Requirement'!$G$17*10</f>
        <v>11316.82580551351</v>
      </c>
      <c r="X8" s="70">
        <f ca="1">'Basic Tariff Model'!Y62*'Cost Requirement'!$G$17*10</f>
        <v>11565.096328559761</v>
      </c>
      <c r="Y8" s="70">
        <f ca="1">'Basic Tariff Model'!Z62*'Cost Requirement'!$G$17*10</f>
        <v>11827.567925524256</v>
      </c>
      <c r="Z8" s="70">
        <f ca="1">'Basic Tariff Model'!AA62*'Cost Requirement'!$G$17*10</f>
        <v>12105.052897835121</v>
      </c>
      <c r="AA8" s="70">
        <f ca="1">'Basic Tariff Model'!AB62*'Cost Requirement'!$G$17*10</f>
        <v>12398.410010562166</v>
      </c>
      <c r="AB8" s="70">
        <f ca="1">'Basic Tariff Model'!AC62*'Cost Requirement'!$G$17*10</f>
        <v>12708.547150137198</v>
      </c>
    </row>
    <row r="9" spans="1:28" x14ac:dyDescent="0.3">
      <c r="A9" s="4"/>
      <c r="B9" s="4" t="s">
        <v>155</v>
      </c>
      <c r="C9" s="4" t="s">
        <v>10</v>
      </c>
      <c r="D9" s="70">
        <v>0</v>
      </c>
      <c r="E9" s="70">
        <v>0</v>
      </c>
      <c r="F9" s="70">
        <v>0</v>
      </c>
      <c r="G9" s="70">
        <v>0</v>
      </c>
      <c r="H9" s="70">
        <v>0</v>
      </c>
      <c r="I9" s="70">
        <v>0</v>
      </c>
      <c r="J9" s="70">
        <v>0</v>
      </c>
      <c r="K9" s="70">
        <v>0</v>
      </c>
      <c r="L9" s="70">
        <v>0</v>
      </c>
      <c r="M9" s="70">
        <v>0</v>
      </c>
      <c r="N9" s="70">
        <v>0</v>
      </c>
      <c r="O9" s="70">
        <v>0</v>
      </c>
      <c r="P9" s="70">
        <v>0</v>
      </c>
      <c r="Q9" s="70">
        <v>0</v>
      </c>
      <c r="R9" s="70">
        <v>0</v>
      </c>
      <c r="S9" s="70">
        <v>0</v>
      </c>
      <c r="T9" s="70">
        <v>0</v>
      </c>
      <c r="U9" s="70">
        <v>0</v>
      </c>
      <c r="V9" s="70">
        <v>0</v>
      </c>
      <c r="W9" s="70">
        <v>0</v>
      </c>
      <c r="X9" s="70">
        <v>0</v>
      </c>
      <c r="Y9" s="70">
        <v>0</v>
      </c>
      <c r="Z9" s="70">
        <v>0</v>
      </c>
      <c r="AA9" s="70">
        <v>0</v>
      </c>
      <c r="AB9" s="70">
        <f>'Basic Tariff Model'!AC31-'Basic Tariff Model'!AC33</f>
        <v>7672.6999999999971</v>
      </c>
    </row>
    <row r="10" spans="1:28" x14ac:dyDescent="0.3">
      <c r="A10" s="4"/>
      <c r="B10" s="5" t="s">
        <v>156</v>
      </c>
      <c r="C10" s="4" t="s">
        <v>10</v>
      </c>
      <c r="D10" s="70">
        <f ca="1">SUM(D8:D9)</f>
        <v>13717.602180168988</v>
      </c>
      <c r="E10" s="70">
        <f t="shared" ref="E10:AB10" ca="1" si="1">SUM(E8:E9)</f>
        <v>13470.469429772958</v>
      </c>
      <c r="F10" s="70">
        <f t="shared" ca="1" si="1"/>
        <v>13250.307318477408</v>
      </c>
      <c r="G10" s="70">
        <f t="shared" ca="1" si="1"/>
        <v>13009.097388471921</v>
      </c>
      <c r="H10" s="70">
        <f t="shared" ca="1" si="1"/>
        <v>12796.401461406935</v>
      </c>
      <c r="I10" s="70">
        <f t="shared" ca="1" si="1"/>
        <v>13140.471610476588</v>
      </c>
      <c r="J10" s="70">
        <f t="shared" ca="1" si="1"/>
        <v>12983.519244108911</v>
      </c>
      <c r="K10" s="70">
        <f t="shared" ca="1" si="1"/>
        <v>12806.524021611614</v>
      </c>
      <c r="L10" s="70">
        <f t="shared" ca="1" si="1"/>
        <v>12636.41973453695</v>
      </c>
      <c r="M10" s="70">
        <f t="shared" ca="1" si="1"/>
        <v>12473.600544391094</v>
      </c>
      <c r="N10" s="70">
        <f t="shared" ca="1" si="1"/>
        <v>13166.346827112331</v>
      </c>
      <c r="O10" s="70">
        <f t="shared" ca="1" si="1"/>
        <v>13019.371789128609</v>
      </c>
      <c r="P10" s="70">
        <f t="shared" ca="1" si="1"/>
        <v>12881.004841121694</v>
      </c>
      <c r="Q10" s="70">
        <f t="shared" ca="1" si="1"/>
        <v>10123.494978409226</v>
      </c>
      <c r="R10" s="70">
        <f t="shared" ca="1" si="1"/>
        <v>10263.005613584917</v>
      </c>
      <c r="S10" s="70">
        <f t="shared" ca="1" si="1"/>
        <v>10450.99762165285</v>
      </c>
      <c r="T10" s="70">
        <f t="shared" ca="1" si="1"/>
        <v>10649.742772582271</v>
      </c>
      <c r="U10" s="70">
        <f t="shared" ca="1" si="1"/>
        <v>10859.856146144852</v>
      </c>
      <c r="V10" s="70">
        <f t="shared" ca="1" si="1"/>
        <v>11081.988004675213</v>
      </c>
      <c r="W10" s="70">
        <f t="shared" ca="1" si="1"/>
        <v>11316.82580551351</v>
      </c>
      <c r="X10" s="70">
        <f t="shared" ca="1" si="1"/>
        <v>11565.096328559761</v>
      </c>
      <c r="Y10" s="70">
        <f t="shared" ca="1" si="1"/>
        <v>11827.567925524256</v>
      </c>
      <c r="Z10" s="70">
        <f t="shared" ca="1" si="1"/>
        <v>12105.052897835121</v>
      </c>
      <c r="AA10" s="70">
        <f t="shared" ca="1" si="1"/>
        <v>12398.410010562166</v>
      </c>
      <c r="AB10" s="70">
        <f t="shared" ca="1" si="1"/>
        <v>20381.247150137195</v>
      </c>
    </row>
    <row r="11" spans="1:28" x14ac:dyDescent="0.3">
      <c r="A11" s="4"/>
      <c r="B11" s="4" t="s">
        <v>157</v>
      </c>
      <c r="C11" s="4" t="s">
        <v>10</v>
      </c>
      <c r="D11" s="70">
        <f ca="1">D10-D7</f>
        <v>-68579.02568909229</v>
      </c>
      <c r="E11" s="70">
        <f t="shared" ref="E11:AB11" ca="1" si="2">E10-E7</f>
        <v>8147.9743109077044</v>
      </c>
      <c r="F11" s="70">
        <f t="shared" ca="1" si="2"/>
        <v>8147.9743109077071</v>
      </c>
      <c r="G11" s="70">
        <f t="shared" ca="1" si="2"/>
        <v>8147.9743109077044</v>
      </c>
      <c r="H11" s="70">
        <f t="shared" ca="1" si="2"/>
        <v>8147.9743109077044</v>
      </c>
      <c r="I11" s="70">
        <f t="shared" ca="1" si="2"/>
        <v>8147.9743109077062</v>
      </c>
      <c r="J11" s="70">
        <f t="shared" ca="1" si="2"/>
        <v>8147.9743109077053</v>
      </c>
      <c r="K11" s="70">
        <f t="shared" ca="1" si="2"/>
        <v>8147.9743109077044</v>
      </c>
      <c r="L11" s="70">
        <f t="shared" ca="1" si="2"/>
        <v>8147.9743109077053</v>
      </c>
      <c r="M11" s="70">
        <f t="shared" ca="1" si="2"/>
        <v>8147.9743109077062</v>
      </c>
      <c r="N11" s="70">
        <f t="shared" ca="1" si="2"/>
        <v>8979.3611620125412</v>
      </c>
      <c r="O11" s="70">
        <f t="shared" ca="1" si="2"/>
        <v>8979.3611620125412</v>
      </c>
      <c r="P11" s="70">
        <f t="shared" ca="1" si="2"/>
        <v>8979.3611620125412</v>
      </c>
      <c r="Q11" s="70">
        <f t="shared" ca="1" si="2"/>
        <v>6293.9161620125415</v>
      </c>
      <c r="R11" s="70">
        <f t="shared" ca="1" si="2"/>
        <v>6293.9161620125415</v>
      </c>
      <c r="S11" s="70">
        <f t="shared" ca="1" si="2"/>
        <v>6293.9161620125415</v>
      </c>
      <c r="T11" s="70">
        <f t="shared" ca="1" si="2"/>
        <v>6293.9161620125424</v>
      </c>
      <c r="U11" s="70">
        <f t="shared" ca="1" si="2"/>
        <v>6293.9161620125415</v>
      </c>
      <c r="V11" s="70">
        <f t="shared" ca="1" si="2"/>
        <v>6293.9161620125406</v>
      </c>
      <c r="W11" s="70">
        <f t="shared" ca="1" si="2"/>
        <v>6293.9161620125387</v>
      </c>
      <c r="X11" s="70">
        <f t="shared" ca="1" si="2"/>
        <v>6293.9161620125406</v>
      </c>
      <c r="Y11" s="70">
        <f t="shared" ca="1" si="2"/>
        <v>6293.9161620125415</v>
      </c>
      <c r="Z11" s="70">
        <f t="shared" ca="1" si="2"/>
        <v>6293.9161620125433</v>
      </c>
      <c r="AA11" s="70">
        <f t="shared" ca="1" si="2"/>
        <v>6293.9161620125424</v>
      </c>
      <c r="AB11" s="70">
        <f t="shared" ca="1" si="2"/>
        <v>13966.61616201254</v>
      </c>
    </row>
    <row r="12" spans="1:28" x14ac:dyDescent="0.3">
      <c r="A12" s="4"/>
      <c r="B12" s="4" t="s">
        <v>160</v>
      </c>
      <c r="C12" s="4" t="s">
        <v>10</v>
      </c>
      <c r="D12" s="70">
        <f ca="1">IF(D11&gt;0,D11*'Input Sheet'!D10,0)</f>
        <v>0</v>
      </c>
      <c r="E12" s="70">
        <f ca="1">IF(E11&gt;0,E11*'Input Sheet'!E10,0)</f>
        <v>1738.7777179477041</v>
      </c>
      <c r="F12" s="70">
        <f ca="1">IF(F11&gt;0,F11*'Input Sheet'!F10,0)</f>
        <v>1738.7777179477048</v>
      </c>
      <c r="G12" s="70">
        <f ca="1">IF(G11&gt;0,G11*'Input Sheet'!G10,0)</f>
        <v>1738.7777179477041</v>
      </c>
      <c r="H12" s="70">
        <f ca="1">IF(H11&gt;0,H11*'Input Sheet'!H10,0)</f>
        <v>1738.7777179477041</v>
      </c>
      <c r="I12" s="70">
        <f ca="1">IF(I11&gt;0,I11*'Input Sheet'!I10,0)</f>
        <v>1738.7777179477046</v>
      </c>
      <c r="J12" s="70">
        <f ca="1">IF(J11&gt;0,J11*'Input Sheet'!J10,0)</f>
        <v>1738.7777179477043</v>
      </c>
      <c r="K12" s="70">
        <f ca="1">IF(K11&gt;0,K11*'Input Sheet'!K10,0)</f>
        <v>1738.7777179477041</v>
      </c>
      <c r="L12" s="70">
        <f ca="1">IF(L11&gt;0,L11*'Input Sheet'!L10,0)</f>
        <v>1738.7777179477043</v>
      </c>
      <c r="M12" s="70">
        <f ca="1">IF(M11&gt;0,M11*'Input Sheet'!M10,0)</f>
        <v>1738.7777179477046</v>
      </c>
      <c r="N12" s="70">
        <f ca="1">IF(N11&gt;0,N11*'Input Sheet'!N10,0)</f>
        <v>3107.7568981725408</v>
      </c>
      <c r="O12" s="70">
        <f ca="1">IF(O11&gt;0,O11*'Input Sheet'!O10,0)</f>
        <v>3107.7568981725408</v>
      </c>
      <c r="P12" s="70">
        <f ca="1">IF(P11&gt;0,P11*'Input Sheet'!P10,0)</f>
        <v>3107.7568981725408</v>
      </c>
      <c r="Q12" s="70">
        <f ca="1">IF(Q11&gt;0,Q11*'Input Sheet'!Q10,0)</f>
        <v>2178.3243836725405</v>
      </c>
      <c r="R12" s="70">
        <f ca="1">IF(R11&gt;0,R11*'Input Sheet'!R10,0)</f>
        <v>2178.3243836725405</v>
      </c>
      <c r="S12" s="70">
        <f ca="1">IF(S11&gt;0,S11*'Input Sheet'!S10,0)</f>
        <v>2178.3243836725405</v>
      </c>
      <c r="T12" s="70">
        <f ca="1">IF(T11&gt;0,T11*'Input Sheet'!T10,0)</f>
        <v>2178.324383672541</v>
      </c>
      <c r="U12" s="70">
        <f ca="1">IF(U11&gt;0,U11*'Input Sheet'!U10,0)</f>
        <v>2178.3243836725405</v>
      </c>
      <c r="V12" s="70">
        <f ca="1">IF(V11&gt;0,V11*'Input Sheet'!V10,0)</f>
        <v>2178.3243836725405</v>
      </c>
      <c r="W12" s="70">
        <f ca="1">IF(W11&gt;0,W11*'Input Sheet'!W10,0)</f>
        <v>2178.3243836725396</v>
      </c>
      <c r="X12" s="70">
        <f ca="1">IF(X11&gt;0,X11*'Input Sheet'!X10,0)</f>
        <v>2178.3243836725405</v>
      </c>
      <c r="Y12" s="70">
        <f ca="1">IF(Y11&gt;0,Y11*'Input Sheet'!Y10,0)</f>
        <v>2178.3243836725405</v>
      </c>
      <c r="Z12" s="70">
        <f ca="1">IF(Z11&gt;0,Z11*'Input Sheet'!Z10,0)</f>
        <v>2178.3243836725414</v>
      </c>
      <c r="AA12" s="70">
        <f ca="1">IF(AA11&gt;0,AA11*'Input Sheet'!AA10,0)</f>
        <v>2178.324383672541</v>
      </c>
      <c r="AB12" s="70">
        <f ca="1">IF(AB11&gt;0,AB11*'Input Sheet'!AB10,0)</f>
        <v>4833.8458536725402</v>
      </c>
    </row>
    <row r="13" spans="1:28" x14ac:dyDescent="0.3">
      <c r="A13" s="4"/>
      <c r="B13" s="4" t="s">
        <v>158</v>
      </c>
      <c r="C13" s="4" t="s">
        <v>10</v>
      </c>
      <c r="D13" s="70">
        <f ca="1">D11-D12</f>
        <v>-68579.02568909229</v>
      </c>
      <c r="E13" s="70">
        <f t="shared" ref="E13:AB13" ca="1" si="3">E11-E12</f>
        <v>6409.1965929600001</v>
      </c>
      <c r="F13" s="70">
        <f t="shared" ca="1" si="3"/>
        <v>6409.1965929600028</v>
      </c>
      <c r="G13" s="70">
        <f t="shared" ca="1" si="3"/>
        <v>6409.1965929600001</v>
      </c>
      <c r="H13" s="70">
        <f t="shared" ca="1" si="3"/>
        <v>6409.1965929600001</v>
      </c>
      <c r="I13" s="70">
        <f t="shared" ca="1" si="3"/>
        <v>6409.1965929600019</v>
      </c>
      <c r="J13" s="70">
        <f t="shared" ca="1" si="3"/>
        <v>6409.196592960001</v>
      </c>
      <c r="K13" s="70">
        <f t="shared" ca="1" si="3"/>
        <v>6409.1965929600001</v>
      </c>
      <c r="L13" s="70">
        <f t="shared" ca="1" si="3"/>
        <v>6409.196592960001</v>
      </c>
      <c r="M13" s="70">
        <f t="shared" ca="1" si="3"/>
        <v>6409.1965929600019</v>
      </c>
      <c r="N13" s="70">
        <f t="shared" ca="1" si="3"/>
        <v>5871.6042638400004</v>
      </c>
      <c r="O13" s="70">
        <f t="shared" ca="1" si="3"/>
        <v>5871.6042638400004</v>
      </c>
      <c r="P13" s="70">
        <f t="shared" ca="1" si="3"/>
        <v>5871.6042638400004</v>
      </c>
      <c r="Q13" s="70">
        <f t="shared" ca="1" si="3"/>
        <v>4115.5917783400009</v>
      </c>
      <c r="R13" s="70">
        <f t="shared" ca="1" si="3"/>
        <v>4115.5917783400009</v>
      </c>
      <c r="S13" s="70">
        <f t="shared" ca="1" si="3"/>
        <v>4115.5917783400009</v>
      </c>
      <c r="T13" s="70">
        <f t="shared" ca="1" si="3"/>
        <v>4115.5917783400018</v>
      </c>
      <c r="U13" s="70">
        <f t="shared" ca="1" si="3"/>
        <v>4115.5917783400009</v>
      </c>
      <c r="V13" s="70">
        <f t="shared" ca="1" si="3"/>
        <v>4115.59177834</v>
      </c>
      <c r="W13" s="70">
        <f t="shared" ca="1" si="3"/>
        <v>4115.5917783399991</v>
      </c>
      <c r="X13" s="70">
        <f t="shared" ca="1" si="3"/>
        <v>4115.59177834</v>
      </c>
      <c r="Y13" s="70">
        <f t="shared" ca="1" si="3"/>
        <v>4115.5917783400009</v>
      </c>
      <c r="Z13" s="70">
        <f t="shared" ca="1" si="3"/>
        <v>4115.5917783400018</v>
      </c>
      <c r="AA13" s="70">
        <f t="shared" ca="1" si="3"/>
        <v>4115.5917783400018</v>
      </c>
      <c r="AB13" s="70">
        <f t="shared" ca="1" si="3"/>
        <v>9132.7703083400011</v>
      </c>
    </row>
    <row r="14" spans="1:28" x14ac:dyDescent="0.3">
      <c r="A14" s="4"/>
      <c r="B14" s="4" t="s">
        <v>20</v>
      </c>
      <c r="C14" s="4" t="s">
        <v>10</v>
      </c>
      <c r="D14" s="70">
        <f>'Basic Tariff Model'!E57</f>
        <v>4051.1855999999998</v>
      </c>
      <c r="E14" s="70">
        <f>'Basic Tariff Model'!F57</f>
        <v>4051.1855999999998</v>
      </c>
      <c r="F14" s="70">
        <f>'Basic Tariff Model'!G57</f>
        <v>4051.1855999999998</v>
      </c>
      <c r="G14" s="70">
        <f>'Basic Tariff Model'!H57</f>
        <v>4051.1855999999998</v>
      </c>
      <c r="H14" s="70">
        <f>'Basic Tariff Model'!I57</f>
        <v>4051.1855999999998</v>
      </c>
      <c r="I14" s="70">
        <f>'Basic Tariff Model'!J57</f>
        <v>4051.1855999999998</v>
      </c>
      <c r="J14" s="70">
        <f>'Basic Tariff Model'!K57</f>
        <v>4051.1855999999998</v>
      </c>
      <c r="K14" s="70">
        <f>'Basic Tariff Model'!L57</f>
        <v>4051.1855999999998</v>
      </c>
      <c r="L14" s="70">
        <f>'Basic Tariff Model'!M57</f>
        <v>4051.1855999999998</v>
      </c>
      <c r="M14" s="70">
        <f>'Basic Tariff Model'!N57</f>
        <v>4051.1855999999998</v>
      </c>
      <c r="N14" s="70">
        <f>'Basic Tariff Model'!O57</f>
        <v>4051.1855999999998</v>
      </c>
      <c r="O14" s="70">
        <f>'Basic Tariff Model'!P57</f>
        <v>4051.1855999999998</v>
      </c>
      <c r="P14" s="70">
        <f>'Basic Tariff Model'!Q57</f>
        <v>4051.1855999999998</v>
      </c>
      <c r="Q14" s="70">
        <f>'Basic Tariff Model'!R57</f>
        <v>1365.7406000000001</v>
      </c>
      <c r="R14" s="70">
        <f>'Basic Tariff Model'!S57</f>
        <v>1365.7406000000001</v>
      </c>
      <c r="S14" s="70">
        <f>'Basic Tariff Model'!T57</f>
        <v>1365.7406000000001</v>
      </c>
      <c r="T14" s="70">
        <f>'Basic Tariff Model'!U57</f>
        <v>1365.7406000000001</v>
      </c>
      <c r="U14" s="70">
        <f>'Basic Tariff Model'!V57</f>
        <v>1365.7406000000001</v>
      </c>
      <c r="V14" s="70">
        <f>'Basic Tariff Model'!W57</f>
        <v>1365.7406000000001</v>
      </c>
      <c r="W14" s="70">
        <f>'Basic Tariff Model'!X57</f>
        <v>1365.7406000000001</v>
      </c>
      <c r="X14" s="70">
        <f>'Basic Tariff Model'!Y57</f>
        <v>1365.7406000000001</v>
      </c>
      <c r="Y14" s="70">
        <f>'Basic Tariff Model'!Z57</f>
        <v>1365.7406000000001</v>
      </c>
      <c r="Z14" s="70">
        <f>'Basic Tariff Model'!AA57</f>
        <v>1365.7406000000001</v>
      </c>
      <c r="AA14" s="70">
        <f>'Basic Tariff Model'!AB57</f>
        <v>1365.7406000000001</v>
      </c>
      <c r="AB14" s="70">
        <f>'Basic Tariff Model'!AC57</f>
        <v>1365.7406000000001</v>
      </c>
    </row>
    <row r="15" spans="1:28" x14ac:dyDescent="0.3">
      <c r="A15" s="4"/>
      <c r="B15" s="4" t="s">
        <v>159</v>
      </c>
      <c r="C15" s="4" t="s">
        <v>10</v>
      </c>
      <c r="D15" s="70">
        <f ca="1">D13+D14</f>
        <v>-64527.840089092293</v>
      </c>
      <c r="E15" s="70">
        <f t="shared" ref="E15:AB15" ca="1" si="4">E13+E14</f>
        <v>10460.38219296</v>
      </c>
      <c r="F15" s="70">
        <f t="shared" ca="1" si="4"/>
        <v>10460.382192960002</v>
      </c>
      <c r="G15" s="70">
        <f t="shared" ca="1" si="4"/>
        <v>10460.38219296</v>
      </c>
      <c r="H15" s="70">
        <f t="shared" ca="1" si="4"/>
        <v>10460.38219296</v>
      </c>
      <c r="I15" s="70">
        <f t="shared" ca="1" si="4"/>
        <v>10460.382192960002</v>
      </c>
      <c r="J15" s="70">
        <f t="shared" ca="1" si="4"/>
        <v>10460.382192960002</v>
      </c>
      <c r="K15" s="70">
        <f t="shared" ca="1" si="4"/>
        <v>10460.38219296</v>
      </c>
      <c r="L15" s="70">
        <f t="shared" ca="1" si="4"/>
        <v>10460.382192960002</v>
      </c>
      <c r="M15" s="70">
        <f t="shared" ca="1" si="4"/>
        <v>10460.382192960002</v>
      </c>
      <c r="N15" s="70">
        <f t="shared" ca="1" si="4"/>
        <v>9922.7898638400002</v>
      </c>
      <c r="O15" s="70">
        <f t="shared" ca="1" si="4"/>
        <v>9922.7898638400002</v>
      </c>
      <c r="P15" s="70">
        <f t="shared" ca="1" si="4"/>
        <v>9922.7898638400002</v>
      </c>
      <c r="Q15" s="70">
        <f t="shared" ca="1" si="4"/>
        <v>5481.332378340001</v>
      </c>
      <c r="R15" s="70">
        <f t="shared" ca="1" si="4"/>
        <v>5481.332378340001</v>
      </c>
      <c r="S15" s="70">
        <f t="shared" ca="1" si="4"/>
        <v>5481.332378340001</v>
      </c>
      <c r="T15" s="70">
        <f t="shared" ca="1" si="4"/>
        <v>5481.3323783400019</v>
      </c>
      <c r="U15" s="70">
        <f t="shared" ca="1" si="4"/>
        <v>5481.332378340001</v>
      </c>
      <c r="V15" s="70">
        <f t="shared" ca="1" si="4"/>
        <v>5481.3323783400001</v>
      </c>
      <c r="W15" s="70">
        <f t="shared" ca="1" si="4"/>
        <v>5481.3323783399992</v>
      </c>
      <c r="X15" s="70">
        <f t="shared" ca="1" si="4"/>
        <v>5481.3323783400001</v>
      </c>
      <c r="Y15" s="70">
        <f t="shared" ca="1" si="4"/>
        <v>5481.332378340001</v>
      </c>
      <c r="Z15" s="70">
        <f t="shared" ca="1" si="4"/>
        <v>5481.3323783400019</v>
      </c>
      <c r="AA15" s="70">
        <f t="shared" ca="1" si="4"/>
        <v>5481.3323783400019</v>
      </c>
      <c r="AB15" s="70">
        <f t="shared" ca="1" si="4"/>
        <v>10498.510908340002</v>
      </c>
    </row>
    <row r="16" spans="1:28" x14ac:dyDescent="0.3">
      <c r="A16" s="4"/>
      <c r="B16" s="4" t="s">
        <v>161</v>
      </c>
      <c r="C16" s="4" t="s">
        <v>61</v>
      </c>
      <c r="D16" s="72">
        <f>Output!D4</f>
        <v>8.1600000000000006E-2</v>
      </c>
      <c r="E16" s="72">
        <f>Output!E4</f>
        <v>8.1600000000000006E-2</v>
      </c>
      <c r="F16" s="72">
        <f>Output!F4</f>
        <v>8.1600000000000006E-2</v>
      </c>
      <c r="G16" s="72">
        <f>Output!G4</f>
        <v>8.1600000000000006E-2</v>
      </c>
      <c r="H16" s="72">
        <f>Output!H4</f>
        <v>8.1600000000000006E-2</v>
      </c>
      <c r="I16" s="72">
        <f>Output!I4</f>
        <v>8.1600000000000006E-2</v>
      </c>
      <c r="J16" s="72">
        <f>Output!J4</f>
        <v>8.1600000000000006E-2</v>
      </c>
      <c r="K16" s="72">
        <f>Output!K4</f>
        <v>8.1600000000000006E-2</v>
      </c>
      <c r="L16" s="72">
        <f>Output!L4</f>
        <v>8.1600000000000006E-2</v>
      </c>
      <c r="M16" s="72">
        <f>Output!M4</f>
        <v>8.1600000000000006E-2</v>
      </c>
      <c r="N16" s="72">
        <f>Output!N4</f>
        <v>7.4999999999999997E-2</v>
      </c>
      <c r="O16" s="72">
        <f>Output!O4</f>
        <v>7.4999999999999997E-2</v>
      </c>
      <c r="P16" s="72">
        <f>Output!P4</f>
        <v>7.4999999999999997E-2</v>
      </c>
      <c r="Q16" s="72">
        <f>Output!Q4</f>
        <v>7.4999999999999997E-2</v>
      </c>
      <c r="R16" s="72">
        <f>Output!R4</f>
        <v>7.4999999999999997E-2</v>
      </c>
      <c r="S16" s="72">
        <f>Output!S4</f>
        <v>7.4999999999999997E-2</v>
      </c>
      <c r="T16" s="72">
        <f>Output!T4</f>
        <v>7.4999999999999997E-2</v>
      </c>
      <c r="U16" s="72">
        <f>Output!U4</f>
        <v>7.4999999999999997E-2</v>
      </c>
      <c r="V16" s="72">
        <f>Output!V4</f>
        <v>7.4999999999999997E-2</v>
      </c>
      <c r="W16" s="72">
        <f>Output!W4</f>
        <v>7.4999999999999997E-2</v>
      </c>
      <c r="X16" s="72">
        <f>Output!X4</f>
        <v>7.4999999999999997E-2</v>
      </c>
      <c r="Y16" s="72">
        <f>Output!Y4</f>
        <v>7.4999999999999997E-2</v>
      </c>
      <c r="Z16" s="72">
        <f>Output!Z4</f>
        <v>7.4999999999999997E-2</v>
      </c>
      <c r="AA16" s="72">
        <f>Output!AA4</f>
        <v>7.4999999999999997E-2</v>
      </c>
      <c r="AB16" s="72">
        <f>Output!AB4</f>
        <v>7.4999999999999997E-2</v>
      </c>
    </row>
    <row r="17" spans="1:30" x14ac:dyDescent="0.3">
      <c r="A17" s="4"/>
      <c r="B17" s="4" t="s">
        <v>21</v>
      </c>
      <c r="C17" s="4"/>
      <c r="D17" s="71">
        <v>1</v>
      </c>
      <c r="E17" s="71">
        <f>D17/(1+E16)</f>
        <v>0.92455621301775159</v>
      </c>
      <c r="F17" s="71">
        <f t="shared" ref="F17:AB17" si="5">E17/(1+F16)</f>
        <v>0.85480419102972605</v>
      </c>
      <c r="G17" s="71">
        <f t="shared" si="5"/>
        <v>0.79031452573014616</v>
      </c>
      <c r="H17" s="71">
        <f t="shared" si="5"/>
        <v>0.73069020500198434</v>
      </c>
      <c r="I17" s="71">
        <f t="shared" si="5"/>
        <v>0.67556416882579917</v>
      </c>
      <c r="J17" s="71">
        <f t="shared" si="5"/>
        <v>0.6245970495800659</v>
      </c>
      <c r="K17" s="71">
        <f t="shared" si="5"/>
        <v>0.5774750828218066</v>
      </c>
      <c r="L17" s="71">
        <f t="shared" si="5"/>
        <v>0.53390817568584192</v>
      </c>
      <c r="M17" s="71">
        <f t="shared" si="5"/>
        <v>0.49362812101131842</v>
      </c>
      <c r="N17" s="71">
        <f t="shared" si="5"/>
        <v>0.45918894977797065</v>
      </c>
      <c r="O17" s="71">
        <f t="shared" si="5"/>
        <v>0.42715251142136806</v>
      </c>
      <c r="P17" s="71">
        <f t="shared" si="5"/>
        <v>0.39735117341522613</v>
      </c>
      <c r="Q17" s="71">
        <f t="shared" si="5"/>
        <v>0.36962899852579179</v>
      </c>
      <c r="R17" s="71">
        <f t="shared" si="5"/>
        <v>0.34384092886120166</v>
      </c>
      <c r="S17" s="71">
        <f t="shared" si="5"/>
        <v>0.31985202684762948</v>
      </c>
      <c r="T17" s="71">
        <f t="shared" si="5"/>
        <v>0.29753676916058558</v>
      </c>
      <c r="U17" s="71">
        <f t="shared" si="5"/>
        <v>0.2767783899168238</v>
      </c>
      <c r="V17" s="71">
        <f t="shared" si="5"/>
        <v>0.25746826969006864</v>
      </c>
      <c r="W17" s="71">
        <f t="shared" si="5"/>
        <v>0.23950536715355222</v>
      </c>
      <c r="X17" s="71">
        <f t="shared" si="5"/>
        <v>0.22279569037539743</v>
      </c>
      <c r="Y17" s="71">
        <f t="shared" si="5"/>
        <v>0.20725180500036972</v>
      </c>
      <c r="Z17" s="71">
        <f t="shared" si="5"/>
        <v>0.19279237674452998</v>
      </c>
      <c r="AA17" s="71">
        <f t="shared" si="5"/>
        <v>0.17934174580886511</v>
      </c>
      <c r="AB17" s="71">
        <f t="shared" si="5"/>
        <v>0.16682953098499081</v>
      </c>
    </row>
    <row r="18" spans="1:30" x14ac:dyDescent="0.3">
      <c r="A18" s="4"/>
      <c r="B18" s="4" t="s">
        <v>162</v>
      </c>
      <c r="C18" s="4" t="s">
        <v>10</v>
      </c>
      <c r="D18" s="70">
        <f ca="1">SUMPRODUCT(D15:AB15,D17:AB17)</f>
        <v>30806.825346044152</v>
      </c>
      <c r="E18" s="71"/>
      <c r="F18" s="71"/>
      <c r="G18" s="71"/>
      <c r="H18" s="71"/>
      <c r="I18" s="71"/>
      <c r="J18" s="71"/>
      <c r="K18" s="71"/>
      <c r="L18" s="71"/>
      <c r="M18" s="71"/>
      <c r="N18" s="71"/>
      <c r="O18" s="71"/>
      <c r="P18" s="71"/>
      <c r="Q18" s="71"/>
      <c r="R18" s="71"/>
      <c r="S18" s="71"/>
      <c r="T18" s="71"/>
      <c r="U18" s="71"/>
      <c r="V18" s="71"/>
      <c r="W18" s="71"/>
      <c r="X18" s="71"/>
      <c r="Y18" s="71"/>
      <c r="Z18" s="71"/>
      <c r="AA18" s="71"/>
      <c r="AB18" s="71"/>
    </row>
    <row r="19" spans="1:30" x14ac:dyDescent="0.3">
      <c r="A19" s="4"/>
      <c r="B19" s="4" t="s">
        <v>163</v>
      </c>
      <c r="C19" s="4"/>
      <c r="D19" s="72">
        <f ca="1">IRR(D15:AB15,10)</f>
        <v>0.1427080515467789</v>
      </c>
      <c r="E19" s="71"/>
      <c r="F19" s="71"/>
      <c r="G19" s="71"/>
      <c r="H19" s="71"/>
      <c r="I19" s="71"/>
      <c r="J19" s="71"/>
      <c r="K19" s="71"/>
      <c r="L19" s="71"/>
      <c r="M19" s="71"/>
      <c r="N19" s="71"/>
      <c r="O19" s="71"/>
      <c r="P19" s="71"/>
      <c r="Q19" s="71"/>
      <c r="R19" s="71"/>
      <c r="S19" s="71"/>
      <c r="T19" s="71"/>
      <c r="U19" s="71"/>
      <c r="V19" s="71"/>
      <c r="W19" s="71"/>
      <c r="X19" s="71"/>
      <c r="Y19" s="71"/>
      <c r="Z19" s="71"/>
      <c r="AA19" s="71"/>
      <c r="AB19" s="71"/>
    </row>
    <row r="20" spans="1:30" x14ac:dyDescent="0.3">
      <c r="B20" s="152"/>
      <c r="C20" s="152"/>
      <c r="D20" s="8"/>
      <c r="E20" s="8"/>
      <c r="F20" s="8"/>
      <c r="G20" s="8"/>
      <c r="H20" s="8"/>
      <c r="I20" s="8"/>
      <c r="J20" s="8"/>
      <c r="K20" s="8"/>
      <c r="L20" s="8"/>
      <c r="M20" s="8"/>
      <c r="N20" s="8"/>
      <c r="O20" s="8"/>
      <c r="P20" s="8"/>
      <c r="Q20" s="8"/>
      <c r="R20" s="8"/>
      <c r="S20" s="8"/>
      <c r="T20" s="8"/>
      <c r="U20" s="8"/>
      <c r="V20" s="8"/>
      <c r="W20" s="8"/>
      <c r="X20" s="8"/>
      <c r="Y20" s="8"/>
      <c r="Z20" s="8"/>
      <c r="AA20" s="8"/>
      <c r="AB20" s="8"/>
      <c r="AC20" s="8"/>
      <c r="AD20" s="8"/>
    </row>
    <row r="22" spans="1:30" x14ac:dyDescent="0.3">
      <c r="B22" s="152"/>
      <c r="C22" s="151"/>
      <c r="F22" s="183" t="s">
        <v>267</v>
      </c>
      <c r="G22" s="183"/>
      <c r="H22" s="183"/>
      <c r="I22" s="183"/>
      <c r="J22" s="183"/>
    </row>
    <row r="23" spans="1:30" x14ac:dyDescent="0.3">
      <c r="B23" s="152"/>
      <c r="C23" s="3"/>
      <c r="F23" s="183"/>
      <c r="G23" s="183"/>
      <c r="H23" s="183"/>
      <c r="I23" s="183"/>
      <c r="J23" s="183"/>
    </row>
  </sheetData>
  <mergeCells count="1">
    <mergeCell ref="F22:J2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1E83-3442-4386-956C-2FDEC9D51EF7}">
  <sheetPr codeName="Sheet5"/>
  <dimension ref="A1:AQ63"/>
  <sheetViews>
    <sheetView workbookViewId="0">
      <pane xSplit="4" ySplit="2" topLeftCell="E3" activePane="bottomRight" state="frozen"/>
      <selection pane="topRight" activeCell="E1" sqref="E1"/>
      <selection pane="bottomLeft" activeCell="A3" sqref="A3"/>
      <selection pane="bottomRight" activeCell="E13" sqref="E13"/>
    </sheetView>
  </sheetViews>
  <sheetFormatPr defaultRowHeight="14.4" x14ac:dyDescent="0.3"/>
  <cols>
    <col min="2" max="2" width="45.5546875" bestFit="1" customWidth="1"/>
    <col min="4" max="4" width="14.88671875" bestFit="1" customWidth="1"/>
    <col min="5" max="5" width="12.6640625" customWidth="1"/>
    <col min="6" max="29" width="12.33203125" bestFit="1" customWidth="1"/>
  </cols>
  <sheetData>
    <row r="1" spans="1:43" x14ac:dyDescent="0.3">
      <c r="A1" s="4"/>
      <c r="B1" s="4"/>
      <c r="C1" s="4"/>
      <c r="D1" s="5" t="s">
        <v>74</v>
      </c>
      <c r="E1" s="5" t="s">
        <v>75</v>
      </c>
      <c r="F1" s="5" t="s">
        <v>76</v>
      </c>
      <c r="G1" s="5" t="s">
        <v>77</v>
      </c>
      <c r="H1" s="5" t="s">
        <v>78</v>
      </c>
      <c r="I1" s="5" t="s">
        <v>79</v>
      </c>
      <c r="J1" s="5" t="s">
        <v>80</v>
      </c>
      <c r="K1" s="5" t="s">
        <v>81</v>
      </c>
      <c r="L1" s="5" t="s">
        <v>82</v>
      </c>
      <c r="M1" s="5" t="s">
        <v>83</v>
      </c>
      <c r="N1" s="5" t="s">
        <v>84</v>
      </c>
      <c r="O1" s="5" t="s">
        <v>85</v>
      </c>
      <c r="P1" s="5" t="s">
        <v>86</v>
      </c>
      <c r="Q1" s="5" t="s">
        <v>87</v>
      </c>
      <c r="R1" s="5" t="s">
        <v>88</v>
      </c>
      <c r="S1" s="5" t="s">
        <v>89</v>
      </c>
      <c r="T1" s="5" t="s">
        <v>90</v>
      </c>
      <c r="U1" s="5" t="s">
        <v>91</v>
      </c>
      <c r="V1" s="5" t="s">
        <v>92</v>
      </c>
      <c r="W1" s="5" t="s">
        <v>93</v>
      </c>
      <c r="X1" s="5" t="s">
        <v>94</v>
      </c>
      <c r="Y1" s="5" t="s">
        <v>95</v>
      </c>
      <c r="Z1" s="5" t="s">
        <v>96</v>
      </c>
      <c r="AA1" s="5" t="s">
        <v>97</v>
      </c>
      <c r="AB1" s="5" t="s">
        <v>98</v>
      </c>
      <c r="AC1" s="5" t="s">
        <v>99</v>
      </c>
      <c r="AD1" s="2"/>
      <c r="AE1" s="2"/>
      <c r="AF1" s="2"/>
      <c r="AG1" s="2"/>
      <c r="AH1" s="2"/>
      <c r="AI1" s="2"/>
      <c r="AJ1" s="2"/>
      <c r="AK1" s="2"/>
    </row>
    <row r="2" spans="1:43" x14ac:dyDescent="0.3">
      <c r="A2" s="4"/>
      <c r="B2" s="5" t="s">
        <v>30</v>
      </c>
      <c r="C2" s="5" t="s">
        <v>71</v>
      </c>
      <c r="D2" s="5" t="s">
        <v>22</v>
      </c>
      <c r="E2" s="5">
        <v>1</v>
      </c>
      <c r="F2" s="5">
        <v>2</v>
      </c>
      <c r="G2" s="5">
        <v>3</v>
      </c>
      <c r="H2" s="5">
        <v>4</v>
      </c>
      <c r="I2" s="5">
        <v>5</v>
      </c>
      <c r="J2" s="5">
        <v>6</v>
      </c>
      <c r="K2" s="5">
        <v>7</v>
      </c>
      <c r="L2" s="5">
        <v>8</v>
      </c>
      <c r="M2" s="5">
        <v>9</v>
      </c>
      <c r="N2" s="5">
        <v>10</v>
      </c>
      <c r="O2" s="5">
        <v>11</v>
      </c>
      <c r="P2" s="5">
        <v>12</v>
      </c>
      <c r="Q2" s="5">
        <v>13</v>
      </c>
      <c r="R2" s="5">
        <v>14</v>
      </c>
      <c r="S2" s="5">
        <v>15</v>
      </c>
      <c r="T2" s="5">
        <v>16</v>
      </c>
      <c r="U2" s="5">
        <v>17</v>
      </c>
      <c r="V2" s="5">
        <v>18</v>
      </c>
      <c r="W2" s="5">
        <v>19</v>
      </c>
      <c r="X2" s="5">
        <v>20</v>
      </c>
      <c r="Y2" s="5">
        <v>21</v>
      </c>
      <c r="Z2" s="5">
        <v>22</v>
      </c>
      <c r="AA2" s="5">
        <v>23</v>
      </c>
      <c r="AB2" s="5">
        <v>24</v>
      </c>
      <c r="AC2" s="5">
        <v>25</v>
      </c>
      <c r="AD2" s="2"/>
      <c r="AE2" s="2"/>
      <c r="AF2" s="2"/>
      <c r="AG2" s="2"/>
      <c r="AH2" s="2"/>
      <c r="AI2" s="2"/>
      <c r="AJ2" s="2"/>
      <c r="AK2" s="2"/>
    </row>
    <row r="3" spans="1:43" x14ac:dyDescent="0.3">
      <c r="A3" s="11"/>
      <c r="B3" s="12" t="s">
        <v>18</v>
      </c>
      <c r="C3" s="11"/>
      <c r="D3" s="11"/>
      <c r="E3" s="11"/>
      <c r="F3" s="11"/>
      <c r="G3" s="11"/>
      <c r="H3" s="11"/>
      <c r="I3" s="11"/>
      <c r="J3" s="11"/>
      <c r="K3" s="11"/>
      <c r="L3" s="11"/>
      <c r="M3" s="11"/>
      <c r="N3" s="11"/>
      <c r="O3" s="11"/>
      <c r="P3" s="11"/>
      <c r="Q3" s="11"/>
      <c r="R3" s="11"/>
      <c r="S3" s="11"/>
      <c r="T3" s="11"/>
      <c r="U3" s="11"/>
      <c r="V3" s="11"/>
      <c r="W3" s="11"/>
      <c r="X3" s="11"/>
      <c r="Y3" s="11"/>
      <c r="Z3" s="11"/>
      <c r="AA3" s="11"/>
      <c r="AB3" s="11"/>
      <c r="AC3" s="11"/>
    </row>
    <row r="4" spans="1:43" x14ac:dyDescent="0.3">
      <c r="A4" s="11"/>
      <c r="B4" s="11" t="s">
        <v>100</v>
      </c>
      <c r="C4" s="11"/>
      <c r="D4" s="11" t="s">
        <v>10</v>
      </c>
      <c r="E4" s="13">
        <f>'Cost Requirement'!$G$12*'Cost Requirement'!$C$4</f>
        <v>23018.100000000002</v>
      </c>
      <c r="F4" s="13">
        <f>'Cost Requirement'!$G$12*'Cost Requirement'!$C$4</f>
        <v>23018.100000000002</v>
      </c>
      <c r="G4" s="13">
        <f>'Cost Requirement'!$G$12*'Cost Requirement'!$C$4</f>
        <v>23018.100000000002</v>
      </c>
      <c r="H4" s="13">
        <f>'Cost Requirement'!$G$12*'Cost Requirement'!$C$4</f>
        <v>23018.100000000002</v>
      </c>
      <c r="I4" s="13">
        <f>'Cost Requirement'!$G$12*'Cost Requirement'!$C$4</f>
        <v>23018.100000000002</v>
      </c>
      <c r="J4" s="13">
        <f>'Cost Requirement'!$G$12*'Cost Requirement'!$C$4</f>
        <v>23018.100000000002</v>
      </c>
      <c r="K4" s="13">
        <f>'Cost Requirement'!$G$12*'Cost Requirement'!$C$4</f>
        <v>23018.100000000002</v>
      </c>
      <c r="L4" s="13">
        <f>'Cost Requirement'!$G$12*'Cost Requirement'!$C$4</f>
        <v>23018.100000000002</v>
      </c>
      <c r="M4" s="13">
        <f>'Cost Requirement'!$G$12*'Cost Requirement'!$C$4</f>
        <v>23018.100000000002</v>
      </c>
      <c r="N4" s="13">
        <f>'Cost Requirement'!$G$12*'Cost Requirement'!$C$4</f>
        <v>23018.100000000002</v>
      </c>
      <c r="O4" s="13">
        <f>'Cost Requirement'!$G$12*'Cost Requirement'!$C$4</f>
        <v>23018.100000000002</v>
      </c>
      <c r="P4" s="13">
        <f>'Cost Requirement'!$G$12*'Cost Requirement'!$C$4</f>
        <v>23018.100000000002</v>
      </c>
      <c r="Q4" s="13">
        <f>'Cost Requirement'!$G$12*'Cost Requirement'!$C$4</f>
        <v>23018.100000000002</v>
      </c>
      <c r="R4" s="13">
        <f>'Cost Requirement'!$G$12*'Cost Requirement'!$C$4</f>
        <v>23018.100000000002</v>
      </c>
      <c r="S4" s="13">
        <f>'Cost Requirement'!$G$12*'Cost Requirement'!$C$4</f>
        <v>23018.100000000002</v>
      </c>
      <c r="T4" s="13">
        <f>'Cost Requirement'!$G$12*'Cost Requirement'!$C$4</f>
        <v>23018.100000000002</v>
      </c>
      <c r="U4" s="13">
        <f>'Cost Requirement'!$G$12*'Cost Requirement'!$C$4</f>
        <v>23018.100000000002</v>
      </c>
      <c r="V4" s="13">
        <f>'Cost Requirement'!$G$12*'Cost Requirement'!$C$4</f>
        <v>23018.100000000002</v>
      </c>
      <c r="W4" s="13">
        <f>'Cost Requirement'!$G$12*'Cost Requirement'!$C$4</f>
        <v>23018.100000000002</v>
      </c>
      <c r="X4" s="13">
        <f>'Cost Requirement'!$G$12*'Cost Requirement'!$C$4</f>
        <v>23018.100000000002</v>
      </c>
      <c r="Y4" s="13">
        <f>'Cost Requirement'!$G$12*'Cost Requirement'!$C$4</f>
        <v>23018.100000000002</v>
      </c>
      <c r="Z4" s="13">
        <f>'Cost Requirement'!$G$12*'Cost Requirement'!$C$4</f>
        <v>23018.100000000002</v>
      </c>
      <c r="AA4" s="13">
        <f>'Cost Requirement'!$G$12*'Cost Requirement'!$C$4</f>
        <v>23018.100000000002</v>
      </c>
      <c r="AB4" s="13">
        <f>'Cost Requirement'!$G$12*'Cost Requirement'!$C$4</f>
        <v>23018.100000000002</v>
      </c>
      <c r="AC4" s="13">
        <f>'Cost Requirement'!$G$12*'Cost Requirement'!$C$4</f>
        <v>23018.100000000002</v>
      </c>
    </row>
    <row r="5" spans="1:43" x14ac:dyDescent="0.3">
      <c r="A5" s="11"/>
      <c r="B5" s="14" t="s">
        <v>101</v>
      </c>
      <c r="C5" s="14"/>
      <c r="D5" s="11" t="s">
        <v>10</v>
      </c>
      <c r="E5" s="15">
        <v>0</v>
      </c>
      <c r="F5" s="15">
        <v>0</v>
      </c>
      <c r="G5" s="15">
        <v>0</v>
      </c>
      <c r="H5" s="15">
        <v>0</v>
      </c>
      <c r="I5" s="15">
        <v>0</v>
      </c>
      <c r="J5" s="15">
        <v>0</v>
      </c>
      <c r="K5" s="15">
        <v>0</v>
      </c>
      <c r="L5" s="15">
        <v>0</v>
      </c>
      <c r="M5" s="15">
        <v>0</v>
      </c>
      <c r="N5" s="15">
        <v>0</v>
      </c>
      <c r="O5" s="15">
        <v>0</v>
      </c>
      <c r="P5" s="15">
        <v>0</v>
      </c>
      <c r="Q5" s="15">
        <v>0</v>
      </c>
      <c r="R5" s="15">
        <v>0</v>
      </c>
      <c r="S5" s="15">
        <v>0</v>
      </c>
      <c r="T5" s="15">
        <v>0</v>
      </c>
      <c r="U5" s="15">
        <v>0</v>
      </c>
      <c r="V5" s="15">
        <v>0</v>
      </c>
      <c r="W5" s="15">
        <v>0</v>
      </c>
      <c r="X5" s="15">
        <v>0</v>
      </c>
      <c r="Y5" s="15">
        <v>0</v>
      </c>
      <c r="Z5" s="15">
        <v>0</v>
      </c>
      <c r="AA5" s="15">
        <v>0</v>
      </c>
      <c r="AB5" s="15">
        <v>0</v>
      </c>
      <c r="AC5" s="15">
        <v>0</v>
      </c>
      <c r="AD5" s="6"/>
      <c r="AE5" s="9"/>
      <c r="AF5" s="10"/>
      <c r="AG5" s="9"/>
      <c r="AH5" s="6"/>
      <c r="AI5" s="6"/>
      <c r="AJ5" s="6"/>
      <c r="AK5" s="6"/>
    </row>
    <row r="6" spans="1:43" x14ac:dyDescent="0.3">
      <c r="A6" s="11"/>
      <c r="B6" s="11" t="s">
        <v>106</v>
      </c>
      <c r="C6" s="11"/>
      <c r="D6" s="11" t="s">
        <v>10</v>
      </c>
      <c r="E6" s="13">
        <f>E4+E5</f>
        <v>23018.100000000002</v>
      </c>
      <c r="F6" s="13">
        <f t="shared" ref="F6:AC6" si="0">F4+F5</f>
        <v>23018.100000000002</v>
      </c>
      <c r="G6" s="13">
        <f t="shared" si="0"/>
        <v>23018.100000000002</v>
      </c>
      <c r="H6" s="13">
        <f t="shared" si="0"/>
        <v>23018.100000000002</v>
      </c>
      <c r="I6" s="13">
        <f t="shared" si="0"/>
        <v>23018.100000000002</v>
      </c>
      <c r="J6" s="13">
        <f t="shared" si="0"/>
        <v>23018.100000000002</v>
      </c>
      <c r="K6" s="13">
        <f t="shared" si="0"/>
        <v>23018.100000000002</v>
      </c>
      <c r="L6" s="13">
        <f t="shared" si="0"/>
        <v>23018.100000000002</v>
      </c>
      <c r="M6" s="13">
        <f t="shared" si="0"/>
        <v>23018.100000000002</v>
      </c>
      <c r="N6" s="13">
        <f t="shared" si="0"/>
        <v>23018.100000000002</v>
      </c>
      <c r="O6" s="13">
        <f t="shared" si="0"/>
        <v>23018.100000000002</v>
      </c>
      <c r="P6" s="13">
        <f t="shared" si="0"/>
        <v>23018.100000000002</v>
      </c>
      <c r="Q6" s="13">
        <f t="shared" si="0"/>
        <v>23018.100000000002</v>
      </c>
      <c r="R6" s="13">
        <f t="shared" si="0"/>
        <v>23018.100000000002</v>
      </c>
      <c r="S6" s="13">
        <f t="shared" si="0"/>
        <v>23018.100000000002</v>
      </c>
      <c r="T6" s="13">
        <f t="shared" si="0"/>
        <v>23018.100000000002</v>
      </c>
      <c r="U6" s="13">
        <f t="shared" si="0"/>
        <v>23018.100000000002</v>
      </c>
      <c r="V6" s="13">
        <f t="shared" si="0"/>
        <v>23018.100000000002</v>
      </c>
      <c r="W6" s="13">
        <f t="shared" si="0"/>
        <v>23018.100000000002</v>
      </c>
      <c r="X6" s="13">
        <f t="shared" si="0"/>
        <v>23018.100000000002</v>
      </c>
      <c r="Y6" s="13">
        <f t="shared" si="0"/>
        <v>23018.100000000002</v>
      </c>
      <c r="Z6" s="13">
        <f t="shared" si="0"/>
        <v>23018.100000000002</v>
      </c>
      <c r="AA6" s="13">
        <f t="shared" si="0"/>
        <v>23018.100000000002</v>
      </c>
      <c r="AB6" s="13">
        <f t="shared" si="0"/>
        <v>23018.100000000002</v>
      </c>
      <c r="AC6" s="13">
        <f t="shared" si="0"/>
        <v>23018.100000000002</v>
      </c>
    </row>
    <row r="7" spans="1:43" x14ac:dyDescent="0.3">
      <c r="A7" s="11"/>
      <c r="B7" s="14" t="s">
        <v>102</v>
      </c>
      <c r="C7" s="14"/>
      <c r="D7" s="11" t="s">
        <v>10</v>
      </c>
      <c r="E7" s="15">
        <f>$AF$6*'[1]Capital Cost'!D4</f>
        <v>0</v>
      </c>
      <c r="F7" s="15">
        <f>$AF$6*'[1]Capital Cost'!E4</f>
        <v>0</v>
      </c>
      <c r="G7" s="15">
        <f>$AF$6*'[1]Capital Cost'!F4</f>
        <v>0</v>
      </c>
      <c r="H7" s="15">
        <f>$AF$6*'[1]Capital Cost'!G4</f>
        <v>0</v>
      </c>
      <c r="I7" s="15">
        <f>$AF$6*'[1]Capital Cost'!H4</f>
        <v>0</v>
      </c>
      <c r="J7" s="15">
        <f>$AF$6*'[1]Capital Cost'!I4</f>
        <v>0</v>
      </c>
      <c r="K7" s="15">
        <f>$AF$6*'[1]Capital Cost'!J4</f>
        <v>0</v>
      </c>
      <c r="L7" s="15">
        <f>$AF$6*'[1]Capital Cost'!K4</f>
        <v>0</v>
      </c>
      <c r="M7" s="15">
        <f>$AF$6*'[1]Capital Cost'!L4</f>
        <v>0</v>
      </c>
      <c r="N7" s="15">
        <f>$AF$6*'[1]Capital Cost'!M4</f>
        <v>0</v>
      </c>
      <c r="O7" s="15">
        <f>$AF$6*'[1]Capital Cost'!N4</f>
        <v>0</v>
      </c>
      <c r="P7" s="15">
        <f>$AF$6*'[1]Capital Cost'!O4</f>
        <v>0</v>
      </c>
      <c r="Q7" s="15">
        <f>$AF$6*'[1]Capital Cost'!P4</f>
        <v>0</v>
      </c>
      <c r="R7" s="15">
        <f>$AF$6*'[1]Capital Cost'!Q4</f>
        <v>0</v>
      </c>
      <c r="S7" s="15">
        <f>$AF$6*'[1]Capital Cost'!R4</f>
        <v>0</v>
      </c>
      <c r="T7" s="15">
        <f>$AF$6*'[1]Capital Cost'!S4</f>
        <v>0</v>
      </c>
      <c r="U7" s="15">
        <f>$AF$6*'[1]Capital Cost'!T4</f>
        <v>0</v>
      </c>
      <c r="V7" s="15">
        <f>$AF$6*'[1]Capital Cost'!U4</f>
        <v>0</v>
      </c>
      <c r="W7" s="15">
        <f>$AF$6*'[1]Capital Cost'!V4</f>
        <v>0</v>
      </c>
      <c r="X7" s="15">
        <f>$AF$6*'[1]Capital Cost'!W4</f>
        <v>0</v>
      </c>
      <c r="Y7" s="15">
        <f>$AF$6*'[1]Capital Cost'!X4</f>
        <v>0</v>
      </c>
      <c r="Z7" s="15">
        <f>$AF$6*'[1]Capital Cost'!Y4</f>
        <v>0</v>
      </c>
      <c r="AA7" s="15">
        <f>$AF$6*'[1]Capital Cost'!Z4</f>
        <v>0</v>
      </c>
      <c r="AB7" s="15">
        <f>$AF$6*'[1]Capital Cost'!AA4</f>
        <v>0</v>
      </c>
      <c r="AC7" s="15">
        <f>$AF$6*'[1]Capital Cost'!AB4</f>
        <v>0</v>
      </c>
      <c r="AD7" s="6"/>
      <c r="AE7" s="6"/>
      <c r="AF7" s="6"/>
      <c r="AG7" s="6"/>
      <c r="AH7" s="6"/>
      <c r="AI7" s="6"/>
      <c r="AJ7" s="6"/>
      <c r="AK7" s="6"/>
      <c r="AL7" s="2"/>
      <c r="AM7" s="2"/>
      <c r="AN7" s="2"/>
      <c r="AO7" s="2"/>
      <c r="AP7" s="2"/>
      <c r="AQ7" s="2"/>
    </row>
    <row r="8" spans="1:43" x14ac:dyDescent="0.3">
      <c r="A8" s="11"/>
      <c r="B8" s="14" t="s">
        <v>103</v>
      </c>
      <c r="C8" s="14"/>
      <c r="D8" s="11" t="s">
        <v>10</v>
      </c>
      <c r="E8" s="15">
        <v>0</v>
      </c>
      <c r="F8" s="15">
        <v>0</v>
      </c>
      <c r="G8" s="15">
        <v>0</v>
      </c>
      <c r="H8" s="15">
        <v>0</v>
      </c>
      <c r="I8" s="15">
        <v>0</v>
      </c>
      <c r="J8" s="15">
        <v>0</v>
      </c>
      <c r="K8" s="15">
        <v>0</v>
      </c>
      <c r="L8" s="15">
        <v>0</v>
      </c>
      <c r="M8" s="15">
        <v>0</v>
      </c>
      <c r="N8" s="15">
        <v>0</v>
      </c>
      <c r="O8" s="15">
        <v>0</v>
      </c>
      <c r="P8" s="15">
        <v>0</v>
      </c>
      <c r="Q8" s="15">
        <v>0</v>
      </c>
      <c r="R8" s="15">
        <v>0</v>
      </c>
      <c r="S8" s="15">
        <v>0</v>
      </c>
      <c r="T8" s="15">
        <v>0</v>
      </c>
      <c r="U8" s="15">
        <v>0</v>
      </c>
      <c r="V8" s="15">
        <v>0</v>
      </c>
      <c r="W8" s="15">
        <v>0</v>
      </c>
      <c r="X8" s="15">
        <v>0</v>
      </c>
      <c r="Y8" s="15">
        <v>0</v>
      </c>
      <c r="Z8" s="15">
        <v>0</v>
      </c>
      <c r="AA8" s="15">
        <v>0</v>
      </c>
      <c r="AB8" s="15">
        <v>0</v>
      </c>
      <c r="AC8" s="15">
        <v>0</v>
      </c>
      <c r="AD8" s="6"/>
      <c r="AE8" s="6"/>
      <c r="AF8" s="6"/>
      <c r="AG8" s="6"/>
      <c r="AH8" s="6"/>
      <c r="AI8" s="6"/>
      <c r="AJ8" s="6"/>
      <c r="AK8" s="6"/>
      <c r="AL8" s="2"/>
      <c r="AM8" s="2"/>
    </row>
    <row r="9" spans="1:43" x14ac:dyDescent="0.3">
      <c r="A9" s="11"/>
      <c r="B9" s="14" t="s">
        <v>104</v>
      </c>
      <c r="C9" s="14"/>
      <c r="D9" s="11" t="s">
        <v>10</v>
      </c>
      <c r="E9" s="15">
        <v>0</v>
      </c>
      <c r="F9" s="15">
        <v>0</v>
      </c>
      <c r="G9" s="15">
        <v>0</v>
      </c>
      <c r="H9" s="15">
        <v>0</v>
      </c>
      <c r="I9" s="15">
        <v>0</v>
      </c>
      <c r="J9" s="15">
        <v>0</v>
      </c>
      <c r="K9" s="15">
        <v>0</v>
      </c>
      <c r="L9" s="15">
        <v>0</v>
      </c>
      <c r="M9" s="15">
        <v>0</v>
      </c>
      <c r="N9" s="15">
        <v>0</v>
      </c>
      <c r="O9" s="15">
        <v>0</v>
      </c>
      <c r="P9" s="15">
        <v>0</v>
      </c>
      <c r="Q9" s="15">
        <v>0</v>
      </c>
      <c r="R9" s="15">
        <v>0</v>
      </c>
      <c r="S9" s="15">
        <v>0</v>
      </c>
      <c r="T9" s="15">
        <v>0</v>
      </c>
      <c r="U9" s="15">
        <v>0</v>
      </c>
      <c r="V9" s="15">
        <v>0</v>
      </c>
      <c r="W9" s="15">
        <v>0</v>
      </c>
      <c r="X9" s="15">
        <v>0</v>
      </c>
      <c r="Y9" s="15">
        <v>0</v>
      </c>
      <c r="Z9" s="15">
        <v>0</v>
      </c>
      <c r="AA9" s="15">
        <v>0</v>
      </c>
      <c r="AB9" s="15">
        <v>0</v>
      </c>
      <c r="AC9" s="15">
        <v>0</v>
      </c>
      <c r="AD9" s="7"/>
      <c r="AE9" s="7"/>
      <c r="AF9" s="7"/>
      <c r="AG9" s="7"/>
      <c r="AH9" s="7"/>
      <c r="AI9" s="7"/>
      <c r="AJ9" s="7"/>
      <c r="AK9" s="7"/>
      <c r="AL9" s="2"/>
      <c r="AM9" s="2"/>
    </row>
    <row r="10" spans="1:43" x14ac:dyDescent="0.3">
      <c r="A10" s="11"/>
      <c r="B10" s="14" t="s">
        <v>105</v>
      </c>
      <c r="C10" s="14"/>
      <c r="D10" s="11" t="s">
        <v>10</v>
      </c>
      <c r="E10" s="15">
        <v>0</v>
      </c>
      <c r="F10" s="15">
        <v>0</v>
      </c>
      <c r="G10" s="15">
        <v>0</v>
      </c>
      <c r="H10" s="15">
        <v>0</v>
      </c>
      <c r="I10" s="15">
        <v>0</v>
      </c>
      <c r="J10" s="15">
        <v>0</v>
      </c>
      <c r="K10" s="15">
        <v>0</v>
      </c>
      <c r="L10" s="15">
        <v>0</v>
      </c>
      <c r="M10" s="15">
        <v>0</v>
      </c>
      <c r="N10" s="15">
        <v>0</v>
      </c>
      <c r="O10" s="15">
        <v>0</v>
      </c>
      <c r="P10" s="15">
        <v>0</v>
      </c>
      <c r="Q10" s="15">
        <v>0</v>
      </c>
      <c r="R10" s="15">
        <v>0</v>
      </c>
      <c r="S10" s="15">
        <v>0</v>
      </c>
      <c r="T10" s="15">
        <v>0</v>
      </c>
      <c r="U10" s="15">
        <v>0</v>
      </c>
      <c r="V10" s="15">
        <v>0</v>
      </c>
      <c r="W10" s="15">
        <v>0</v>
      </c>
      <c r="X10" s="15">
        <v>0</v>
      </c>
      <c r="Y10" s="15">
        <v>0</v>
      </c>
      <c r="Z10" s="15">
        <v>0</v>
      </c>
      <c r="AA10" s="15">
        <v>0</v>
      </c>
      <c r="AB10" s="15">
        <v>0</v>
      </c>
      <c r="AC10" s="15">
        <v>0</v>
      </c>
      <c r="AD10" s="7"/>
      <c r="AE10" s="7"/>
      <c r="AF10" s="7"/>
      <c r="AG10" s="7"/>
      <c r="AH10" s="7"/>
      <c r="AI10" s="7"/>
      <c r="AJ10" s="7"/>
      <c r="AK10" s="7"/>
      <c r="AL10" s="2"/>
      <c r="AM10" s="2"/>
    </row>
    <row r="11" spans="1:43" x14ac:dyDescent="0.3">
      <c r="A11" s="11"/>
      <c r="B11" s="14" t="s">
        <v>107</v>
      </c>
      <c r="C11" s="14"/>
      <c r="D11" s="11" t="s">
        <v>10</v>
      </c>
      <c r="E11" s="13">
        <f>E6+E7-E8-E9+E10</f>
        <v>23018.100000000002</v>
      </c>
      <c r="F11" s="13">
        <f t="shared" ref="F11:AC11" si="1">F6+F7-F8-F9+F10</f>
        <v>23018.100000000002</v>
      </c>
      <c r="G11" s="13">
        <f t="shared" si="1"/>
        <v>23018.100000000002</v>
      </c>
      <c r="H11" s="13">
        <f t="shared" si="1"/>
        <v>23018.100000000002</v>
      </c>
      <c r="I11" s="13">
        <f t="shared" si="1"/>
        <v>23018.100000000002</v>
      </c>
      <c r="J11" s="13">
        <f t="shared" si="1"/>
        <v>23018.100000000002</v>
      </c>
      <c r="K11" s="13">
        <f t="shared" si="1"/>
        <v>23018.100000000002</v>
      </c>
      <c r="L11" s="13">
        <f t="shared" si="1"/>
        <v>23018.100000000002</v>
      </c>
      <c r="M11" s="13">
        <f t="shared" si="1"/>
        <v>23018.100000000002</v>
      </c>
      <c r="N11" s="13">
        <f t="shared" si="1"/>
        <v>23018.100000000002</v>
      </c>
      <c r="O11" s="13">
        <f t="shared" si="1"/>
        <v>23018.100000000002</v>
      </c>
      <c r="P11" s="13">
        <f t="shared" si="1"/>
        <v>23018.100000000002</v>
      </c>
      <c r="Q11" s="13">
        <f t="shared" si="1"/>
        <v>23018.100000000002</v>
      </c>
      <c r="R11" s="13">
        <f t="shared" si="1"/>
        <v>23018.100000000002</v>
      </c>
      <c r="S11" s="13">
        <f t="shared" si="1"/>
        <v>23018.100000000002</v>
      </c>
      <c r="T11" s="13">
        <f t="shared" si="1"/>
        <v>23018.100000000002</v>
      </c>
      <c r="U11" s="13">
        <f t="shared" si="1"/>
        <v>23018.100000000002</v>
      </c>
      <c r="V11" s="13">
        <f t="shared" si="1"/>
        <v>23018.100000000002</v>
      </c>
      <c r="W11" s="13">
        <f t="shared" si="1"/>
        <v>23018.100000000002</v>
      </c>
      <c r="X11" s="13">
        <f t="shared" si="1"/>
        <v>23018.100000000002</v>
      </c>
      <c r="Y11" s="13">
        <f t="shared" si="1"/>
        <v>23018.100000000002</v>
      </c>
      <c r="Z11" s="13">
        <f t="shared" si="1"/>
        <v>23018.100000000002</v>
      </c>
      <c r="AA11" s="13">
        <f t="shared" si="1"/>
        <v>23018.100000000002</v>
      </c>
      <c r="AB11" s="13">
        <f t="shared" si="1"/>
        <v>23018.100000000002</v>
      </c>
      <c r="AC11" s="13">
        <f t="shared" si="1"/>
        <v>23018.100000000002</v>
      </c>
    </row>
    <row r="12" spans="1:43" x14ac:dyDescent="0.3">
      <c r="A12" s="11"/>
      <c r="B12" s="14" t="s">
        <v>108</v>
      </c>
      <c r="C12" s="14"/>
      <c r="D12" s="11" t="s">
        <v>10</v>
      </c>
      <c r="E12" s="13">
        <f>AVERAGE(E6,E11)</f>
        <v>23018.100000000002</v>
      </c>
      <c r="F12" s="13">
        <f t="shared" ref="F12:AC12" si="2">AVERAGE(F6,F11)</f>
        <v>23018.100000000002</v>
      </c>
      <c r="G12" s="13">
        <f t="shared" si="2"/>
        <v>23018.100000000002</v>
      </c>
      <c r="H12" s="13">
        <f t="shared" si="2"/>
        <v>23018.100000000002</v>
      </c>
      <c r="I12" s="13">
        <f t="shared" si="2"/>
        <v>23018.100000000002</v>
      </c>
      <c r="J12" s="13">
        <f t="shared" si="2"/>
        <v>23018.100000000002</v>
      </c>
      <c r="K12" s="13">
        <f t="shared" si="2"/>
        <v>23018.100000000002</v>
      </c>
      <c r="L12" s="13">
        <f t="shared" si="2"/>
        <v>23018.100000000002</v>
      </c>
      <c r="M12" s="13">
        <f t="shared" si="2"/>
        <v>23018.100000000002</v>
      </c>
      <c r="N12" s="13">
        <f t="shared" si="2"/>
        <v>23018.100000000002</v>
      </c>
      <c r="O12" s="13">
        <f t="shared" si="2"/>
        <v>23018.100000000002</v>
      </c>
      <c r="P12" s="13">
        <f t="shared" si="2"/>
        <v>23018.100000000002</v>
      </c>
      <c r="Q12" s="13">
        <f t="shared" si="2"/>
        <v>23018.100000000002</v>
      </c>
      <c r="R12" s="13">
        <f t="shared" si="2"/>
        <v>23018.100000000002</v>
      </c>
      <c r="S12" s="13">
        <f t="shared" si="2"/>
        <v>23018.100000000002</v>
      </c>
      <c r="T12" s="13">
        <f t="shared" si="2"/>
        <v>23018.100000000002</v>
      </c>
      <c r="U12" s="13">
        <f t="shared" si="2"/>
        <v>23018.100000000002</v>
      </c>
      <c r="V12" s="13">
        <f t="shared" si="2"/>
        <v>23018.100000000002</v>
      </c>
      <c r="W12" s="13">
        <f t="shared" si="2"/>
        <v>23018.100000000002</v>
      </c>
      <c r="X12" s="13">
        <f t="shared" si="2"/>
        <v>23018.100000000002</v>
      </c>
      <c r="Y12" s="13">
        <f t="shared" si="2"/>
        <v>23018.100000000002</v>
      </c>
      <c r="Z12" s="13">
        <f t="shared" si="2"/>
        <v>23018.100000000002</v>
      </c>
      <c r="AA12" s="13">
        <f t="shared" si="2"/>
        <v>23018.100000000002</v>
      </c>
      <c r="AB12" s="13">
        <f t="shared" si="2"/>
        <v>23018.100000000002</v>
      </c>
      <c r="AC12" s="13">
        <f t="shared" si="2"/>
        <v>23018.100000000002</v>
      </c>
    </row>
    <row r="13" spans="1:43" x14ac:dyDescent="0.3">
      <c r="A13" s="11"/>
      <c r="B13" s="14" t="s">
        <v>109</v>
      </c>
      <c r="C13" s="14"/>
      <c r="D13" s="11" t="s">
        <v>10</v>
      </c>
      <c r="E13" s="16">
        <f>'Input Sheet'!D9/(1-'Input Sheet'!D10)</f>
        <v>0.17798118484617342</v>
      </c>
      <c r="F13" s="16">
        <f>'Input Sheet'!E9/(1-'Input Sheet'!E10)</f>
        <v>0.17798118484617342</v>
      </c>
      <c r="G13" s="16">
        <f>'Input Sheet'!F9/(1-'Input Sheet'!F10)</f>
        <v>0.17798118484617342</v>
      </c>
      <c r="H13" s="16">
        <f>'Input Sheet'!G9/(1-'Input Sheet'!G10)</f>
        <v>0.17798118484617342</v>
      </c>
      <c r="I13" s="16">
        <f>'Input Sheet'!H9/(1-'Input Sheet'!H10)</f>
        <v>0.17798118484617342</v>
      </c>
      <c r="J13" s="16">
        <f>'Input Sheet'!I9/(1-'Input Sheet'!I10)</f>
        <v>0.17798118484617342</v>
      </c>
      <c r="K13" s="16">
        <f>'Input Sheet'!J9/(1-'Input Sheet'!J10)</f>
        <v>0.17798118484617342</v>
      </c>
      <c r="L13" s="16">
        <f>'Input Sheet'!K9/(1-'Input Sheet'!K10)</f>
        <v>0.17798118484617342</v>
      </c>
      <c r="M13" s="16">
        <f>'Input Sheet'!L9/(1-'Input Sheet'!L10)</f>
        <v>0.17798118484617342</v>
      </c>
      <c r="N13" s="16">
        <f>'Input Sheet'!M9/(1-'Input Sheet'!M10)</f>
        <v>0.17798118484617342</v>
      </c>
      <c r="O13" s="16">
        <f>'Input Sheet'!N9/(1-'Input Sheet'!N10)</f>
        <v>0.21410001529285827</v>
      </c>
      <c r="P13" s="16">
        <f>'Input Sheet'!O9/(1-'Input Sheet'!O10)</f>
        <v>0.21410001529285827</v>
      </c>
      <c r="Q13" s="16">
        <f>'Input Sheet'!P9/(1-'Input Sheet'!P10)</f>
        <v>0.21410001529285827</v>
      </c>
      <c r="R13" s="16">
        <f>'Input Sheet'!Q9/(1-'Input Sheet'!Q10)</f>
        <v>0.21410001529285827</v>
      </c>
      <c r="S13" s="16">
        <f>'Input Sheet'!R9/(1-'Input Sheet'!R10)</f>
        <v>0.21410001529285827</v>
      </c>
      <c r="T13" s="16">
        <f>'Input Sheet'!S9/(1-'Input Sheet'!S10)</f>
        <v>0.21410001529285827</v>
      </c>
      <c r="U13" s="16">
        <f>'Input Sheet'!T9/(1-'Input Sheet'!T10)</f>
        <v>0.21410001529285827</v>
      </c>
      <c r="V13" s="16">
        <f>'Input Sheet'!U9/(1-'Input Sheet'!U10)</f>
        <v>0.21410001529285827</v>
      </c>
      <c r="W13" s="16">
        <f>'Input Sheet'!V9/(1-'Input Sheet'!V10)</f>
        <v>0.21410001529285827</v>
      </c>
      <c r="X13" s="16">
        <f>'Input Sheet'!W9/(1-'Input Sheet'!W10)</f>
        <v>0.21410001529285827</v>
      </c>
      <c r="Y13" s="16">
        <f>'Input Sheet'!X9/(1-'Input Sheet'!X10)</f>
        <v>0.21410001529285827</v>
      </c>
      <c r="Z13" s="16">
        <f>'Input Sheet'!Y9/(1-'Input Sheet'!Y10)</f>
        <v>0.21410001529285827</v>
      </c>
      <c r="AA13" s="16">
        <f>'Input Sheet'!Z9/(1-'Input Sheet'!Z10)</f>
        <v>0.21410001529285827</v>
      </c>
      <c r="AB13" s="16">
        <f>'Input Sheet'!AA9/(1-'Input Sheet'!AA10)</f>
        <v>0.21410001529285827</v>
      </c>
      <c r="AC13" s="16">
        <f>'Input Sheet'!AB9/(1-'Input Sheet'!AB10)</f>
        <v>0.21410001529285827</v>
      </c>
    </row>
    <row r="14" spans="1:43" x14ac:dyDescent="0.3">
      <c r="A14" s="11"/>
      <c r="B14" s="17" t="s">
        <v>26</v>
      </c>
      <c r="C14" s="17"/>
      <c r="D14" s="11" t="s">
        <v>10</v>
      </c>
      <c r="E14" s="13">
        <f>E12*E13</f>
        <v>4096.7887109077046</v>
      </c>
      <c r="F14" s="13">
        <f t="shared" ref="F14:AC14" si="3">F12*F13</f>
        <v>4096.7887109077046</v>
      </c>
      <c r="G14" s="13">
        <f t="shared" si="3"/>
        <v>4096.7887109077046</v>
      </c>
      <c r="H14" s="13">
        <f t="shared" si="3"/>
        <v>4096.7887109077046</v>
      </c>
      <c r="I14" s="13">
        <f t="shared" si="3"/>
        <v>4096.7887109077046</v>
      </c>
      <c r="J14" s="13">
        <f t="shared" si="3"/>
        <v>4096.7887109077046</v>
      </c>
      <c r="K14" s="13">
        <f t="shared" si="3"/>
        <v>4096.7887109077046</v>
      </c>
      <c r="L14" s="13">
        <f t="shared" si="3"/>
        <v>4096.7887109077046</v>
      </c>
      <c r="M14" s="13">
        <f t="shared" si="3"/>
        <v>4096.7887109077046</v>
      </c>
      <c r="N14" s="13">
        <f t="shared" si="3"/>
        <v>4096.7887109077046</v>
      </c>
      <c r="O14" s="13">
        <f t="shared" si="3"/>
        <v>4928.1755620125414</v>
      </c>
      <c r="P14" s="13">
        <f t="shared" si="3"/>
        <v>4928.1755620125414</v>
      </c>
      <c r="Q14" s="13">
        <f t="shared" si="3"/>
        <v>4928.1755620125414</v>
      </c>
      <c r="R14" s="13">
        <f t="shared" si="3"/>
        <v>4928.1755620125414</v>
      </c>
      <c r="S14" s="13">
        <f t="shared" si="3"/>
        <v>4928.1755620125414</v>
      </c>
      <c r="T14" s="13">
        <f t="shared" si="3"/>
        <v>4928.1755620125414</v>
      </c>
      <c r="U14" s="13">
        <f t="shared" si="3"/>
        <v>4928.1755620125414</v>
      </c>
      <c r="V14" s="13">
        <f t="shared" si="3"/>
        <v>4928.1755620125414</v>
      </c>
      <c r="W14" s="13">
        <f t="shared" si="3"/>
        <v>4928.1755620125414</v>
      </c>
      <c r="X14" s="13">
        <f t="shared" si="3"/>
        <v>4928.1755620125414</v>
      </c>
      <c r="Y14" s="13">
        <f t="shared" si="3"/>
        <v>4928.1755620125414</v>
      </c>
      <c r="Z14" s="13">
        <f t="shared" si="3"/>
        <v>4928.1755620125414</v>
      </c>
      <c r="AA14" s="13">
        <f t="shared" si="3"/>
        <v>4928.1755620125414</v>
      </c>
      <c r="AB14" s="13">
        <f t="shared" si="3"/>
        <v>4928.1755620125414</v>
      </c>
      <c r="AC14" s="13">
        <f t="shared" si="3"/>
        <v>4928.1755620125414</v>
      </c>
    </row>
    <row r="15" spans="1:43" s="18" customFormat="1" x14ac:dyDescent="0.3"/>
    <row r="16" spans="1:43" x14ac:dyDescent="0.3">
      <c r="A16" s="20"/>
      <c r="B16" s="19" t="s">
        <v>25</v>
      </c>
      <c r="C16" s="19"/>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40"/>
    </row>
    <row r="17" spans="1:30" x14ac:dyDescent="0.3">
      <c r="A17" s="20"/>
      <c r="B17" s="21" t="s">
        <v>110</v>
      </c>
      <c r="C17" s="21"/>
      <c r="D17" s="20" t="s">
        <v>10</v>
      </c>
      <c r="E17" s="38">
        <f>'Cost Requirement'!$C$3*'Cost Requirement'!$G$14</f>
        <v>53708.899999999994</v>
      </c>
      <c r="F17" s="38">
        <f>'Cost Requirement'!$C$3*'Cost Requirement'!$G$14</f>
        <v>53708.899999999994</v>
      </c>
      <c r="G17" s="38">
        <f>'Cost Requirement'!$C$3*'Cost Requirement'!$G$14</f>
        <v>53708.899999999994</v>
      </c>
      <c r="H17" s="38">
        <f>'Cost Requirement'!$C$3*'Cost Requirement'!$G$14</f>
        <v>53708.899999999994</v>
      </c>
      <c r="I17" s="38">
        <f>'Cost Requirement'!$C$3*'Cost Requirement'!$G$14</f>
        <v>53708.899999999994</v>
      </c>
      <c r="J17" s="38">
        <f>'Cost Requirement'!$C$3*'Cost Requirement'!$G$14</f>
        <v>53708.899999999994</v>
      </c>
      <c r="K17" s="38">
        <f>'Cost Requirement'!$C$3*'Cost Requirement'!$G$14</f>
        <v>53708.899999999994</v>
      </c>
      <c r="L17" s="38">
        <f>'Cost Requirement'!$C$3*'Cost Requirement'!$G$14</f>
        <v>53708.899999999994</v>
      </c>
      <c r="M17" s="38">
        <f>'Cost Requirement'!$C$3*'Cost Requirement'!$G$14</f>
        <v>53708.899999999994</v>
      </c>
      <c r="N17" s="38">
        <f>'Cost Requirement'!$C$3*'Cost Requirement'!$G$14</f>
        <v>53708.899999999994</v>
      </c>
      <c r="O17" s="38">
        <f>'Cost Requirement'!$C$3*'Cost Requirement'!$G$14</f>
        <v>53708.899999999994</v>
      </c>
      <c r="P17" s="38">
        <f>'Cost Requirement'!$C$3*'Cost Requirement'!$G$14</f>
        <v>53708.899999999994</v>
      </c>
      <c r="Q17" s="38">
        <f>'Cost Requirement'!$C$3*'Cost Requirement'!$G$14</f>
        <v>53708.899999999994</v>
      </c>
      <c r="R17" s="38">
        <f>'Cost Requirement'!$C$3*'Cost Requirement'!$G$14</f>
        <v>53708.899999999994</v>
      </c>
      <c r="S17" s="38">
        <f>'Cost Requirement'!$C$3*'Cost Requirement'!$G$14</f>
        <v>53708.899999999994</v>
      </c>
      <c r="T17" s="38">
        <f>'Cost Requirement'!$C$3*'Cost Requirement'!$G$14</f>
        <v>53708.899999999994</v>
      </c>
      <c r="U17" s="38">
        <f>'Cost Requirement'!$C$3*'Cost Requirement'!$G$14</f>
        <v>53708.899999999994</v>
      </c>
      <c r="V17" s="38">
        <f>'Cost Requirement'!$C$3*'Cost Requirement'!$G$14</f>
        <v>53708.899999999994</v>
      </c>
      <c r="W17" s="38">
        <f>'Cost Requirement'!$C$3*'Cost Requirement'!$G$14</f>
        <v>53708.899999999994</v>
      </c>
      <c r="X17" s="38">
        <f>'Cost Requirement'!$C$3*'Cost Requirement'!$G$14</f>
        <v>53708.899999999994</v>
      </c>
      <c r="Y17" s="38">
        <f>'Cost Requirement'!$C$3*'Cost Requirement'!$G$14</f>
        <v>53708.899999999994</v>
      </c>
      <c r="Z17" s="38">
        <f>'Cost Requirement'!$C$3*'Cost Requirement'!$G$14</f>
        <v>53708.899999999994</v>
      </c>
      <c r="AA17" s="38">
        <f>'Cost Requirement'!$C$3*'Cost Requirement'!$G$14</f>
        <v>53708.899999999994</v>
      </c>
      <c r="AB17" s="38">
        <f>'Cost Requirement'!$C$3*'Cost Requirement'!$G$14</f>
        <v>53708.899999999994</v>
      </c>
      <c r="AC17" s="38">
        <f>'Cost Requirement'!$C$3*'Cost Requirement'!$G$14</f>
        <v>53708.899999999994</v>
      </c>
    </row>
    <row r="18" spans="1:30" x14ac:dyDescent="0.3">
      <c r="A18" s="20"/>
      <c r="B18" s="21" t="s">
        <v>111</v>
      </c>
      <c r="C18" s="21"/>
      <c r="D18" s="20" t="s">
        <v>10</v>
      </c>
      <c r="E18" s="38">
        <f>0</f>
        <v>0</v>
      </c>
      <c r="F18" s="38">
        <f>E18+E24</f>
        <v>4051.1855999999998</v>
      </c>
      <c r="G18" s="38">
        <f t="shared" ref="G18:AC18" si="4">F18+F24</f>
        <v>8102.3711999999996</v>
      </c>
      <c r="H18" s="38">
        <f t="shared" si="4"/>
        <v>12153.556799999998</v>
      </c>
      <c r="I18" s="38">
        <f t="shared" si="4"/>
        <v>16204.742399999999</v>
      </c>
      <c r="J18" s="38">
        <f t="shared" si="4"/>
        <v>20255.928</v>
      </c>
      <c r="K18" s="38">
        <f t="shared" si="4"/>
        <v>24307.113600000001</v>
      </c>
      <c r="L18" s="38">
        <f t="shared" si="4"/>
        <v>28358.299200000001</v>
      </c>
      <c r="M18" s="38">
        <f t="shared" si="4"/>
        <v>32409.484800000002</v>
      </c>
      <c r="N18" s="38">
        <f t="shared" si="4"/>
        <v>36460.670400000003</v>
      </c>
      <c r="O18" s="38">
        <f t="shared" si="4"/>
        <v>40511.856</v>
      </c>
      <c r="P18" s="38">
        <f t="shared" si="4"/>
        <v>44563.041599999997</v>
      </c>
      <c r="Q18" s="38">
        <f t="shared" si="4"/>
        <v>48614.227199999994</v>
      </c>
      <c r="R18" s="38">
        <f t="shared" si="4"/>
        <v>52665.412799999991</v>
      </c>
      <c r="S18" s="38">
        <f t="shared" si="4"/>
        <v>53708.899999999994</v>
      </c>
      <c r="T18" s="38">
        <f t="shared" si="4"/>
        <v>53708.899999999994</v>
      </c>
      <c r="U18" s="38">
        <f t="shared" si="4"/>
        <v>53708.899999999994</v>
      </c>
      <c r="V18" s="38">
        <f t="shared" si="4"/>
        <v>53708.899999999994</v>
      </c>
      <c r="W18" s="38">
        <f t="shared" si="4"/>
        <v>53708.899999999994</v>
      </c>
      <c r="X18" s="38">
        <f t="shared" si="4"/>
        <v>53708.899999999994</v>
      </c>
      <c r="Y18" s="38">
        <f t="shared" si="4"/>
        <v>53708.899999999994</v>
      </c>
      <c r="Z18" s="38">
        <f t="shared" si="4"/>
        <v>53708.899999999994</v>
      </c>
      <c r="AA18" s="38">
        <f t="shared" si="4"/>
        <v>53708.899999999994</v>
      </c>
      <c r="AB18" s="38">
        <f t="shared" si="4"/>
        <v>53708.899999999994</v>
      </c>
      <c r="AC18" s="38">
        <f t="shared" si="4"/>
        <v>53708.899999999994</v>
      </c>
    </row>
    <row r="19" spans="1:30" x14ac:dyDescent="0.3">
      <c r="A19" s="20"/>
      <c r="B19" s="21" t="s">
        <v>112</v>
      </c>
      <c r="C19" s="21"/>
      <c r="D19" s="20" t="s">
        <v>10</v>
      </c>
      <c r="E19" s="38">
        <f>E17-E18</f>
        <v>53708.899999999994</v>
      </c>
      <c r="F19" s="38">
        <f t="shared" ref="F19:AC19" si="5">F17-F18</f>
        <v>49657.714399999997</v>
      </c>
      <c r="G19" s="38">
        <f t="shared" si="5"/>
        <v>45606.528799999993</v>
      </c>
      <c r="H19" s="38">
        <f t="shared" si="5"/>
        <v>41555.343199999996</v>
      </c>
      <c r="I19" s="38">
        <f t="shared" si="5"/>
        <v>37504.157599999991</v>
      </c>
      <c r="J19" s="38">
        <f t="shared" si="5"/>
        <v>33452.971999999994</v>
      </c>
      <c r="K19" s="38">
        <f t="shared" si="5"/>
        <v>29401.786399999994</v>
      </c>
      <c r="L19" s="38">
        <f t="shared" si="5"/>
        <v>25350.600799999993</v>
      </c>
      <c r="M19" s="38">
        <f t="shared" si="5"/>
        <v>21299.415199999992</v>
      </c>
      <c r="N19" s="38">
        <f t="shared" si="5"/>
        <v>17248.229599999991</v>
      </c>
      <c r="O19" s="38">
        <f t="shared" si="5"/>
        <v>13197.043999999994</v>
      </c>
      <c r="P19" s="38">
        <f t="shared" si="5"/>
        <v>9145.8583999999973</v>
      </c>
      <c r="Q19" s="38">
        <f t="shared" si="5"/>
        <v>5094.6728000000003</v>
      </c>
      <c r="R19" s="38">
        <f t="shared" si="5"/>
        <v>1043.4872000000032</v>
      </c>
      <c r="S19" s="38">
        <f t="shared" si="5"/>
        <v>0</v>
      </c>
      <c r="T19" s="38">
        <f t="shared" si="5"/>
        <v>0</v>
      </c>
      <c r="U19" s="38">
        <f t="shared" si="5"/>
        <v>0</v>
      </c>
      <c r="V19" s="38">
        <f t="shared" si="5"/>
        <v>0</v>
      </c>
      <c r="W19" s="38">
        <f t="shared" si="5"/>
        <v>0</v>
      </c>
      <c r="X19" s="38">
        <f t="shared" si="5"/>
        <v>0</v>
      </c>
      <c r="Y19" s="38">
        <f t="shared" si="5"/>
        <v>0</v>
      </c>
      <c r="Z19" s="38">
        <f t="shared" si="5"/>
        <v>0</v>
      </c>
      <c r="AA19" s="38">
        <f t="shared" si="5"/>
        <v>0</v>
      </c>
      <c r="AB19" s="38">
        <f t="shared" si="5"/>
        <v>0</v>
      </c>
      <c r="AC19" s="38">
        <f t="shared" si="5"/>
        <v>0</v>
      </c>
      <c r="AD19" s="58"/>
    </row>
    <row r="20" spans="1:30" x14ac:dyDescent="0.3">
      <c r="A20" s="20"/>
      <c r="B20" s="22" t="s">
        <v>113</v>
      </c>
      <c r="C20" s="22"/>
      <c r="D20" s="20" t="s">
        <v>10</v>
      </c>
      <c r="E20" s="38">
        <v>0</v>
      </c>
      <c r="F20" s="38">
        <v>0</v>
      </c>
      <c r="G20" s="38">
        <v>0</v>
      </c>
      <c r="H20" s="38">
        <v>0</v>
      </c>
      <c r="I20" s="38">
        <v>0</v>
      </c>
      <c r="J20" s="38">
        <v>0</v>
      </c>
      <c r="K20" s="38">
        <v>0</v>
      </c>
      <c r="L20" s="38">
        <v>0</v>
      </c>
      <c r="M20" s="38">
        <v>0</v>
      </c>
      <c r="N20" s="38">
        <v>0</v>
      </c>
      <c r="O20" s="38">
        <v>0</v>
      </c>
      <c r="P20" s="38">
        <v>0</v>
      </c>
      <c r="Q20" s="38">
        <v>0</v>
      </c>
      <c r="R20" s="38">
        <v>0</v>
      </c>
      <c r="S20" s="38">
        <v>0</v>
      </c>
      <c r="T20" s="38">
        <v>0</v>
      </c>
      <c r="U20" s="38">
        <v>0</v>
      </c>
      <c r="V20" s="38">
        <v>0</v>
      </c>
      <c r="W20" s="38">
        <v>0</v>
      </c>
      <c r="X20" s="38">
        <v>0</v>
      </c>
      <c r="Y20" s="38">
        <v>0</v>
      </c>
      <c r="Z20" s="38">
        <v>0</v>
      </c>
      <c r="AA20" s="38">
        <v>0</v>
      </c>
      <c r="AB20" s="38">
        <v>0</v>
      </c>
      <c r="AC20" s="38">
        <v>0</v>
      </c>
    </row>
    <row r="21" spans="1:30" x14ac:dyDescent="0.3">
      <c r="A21" s="20"/>
      <c r="B21" s="22" t="s">
        <v>114</v>
      </c>
      <c r="C21" s="22"/>
      <c r="D21" s="20" t="s">
        <v>10</v>
      </c>
      <c r="E21" s="38">
        <v>0</v>
      </c>
      <c r="F21" s="38">
        <v>0</v>
      </c>
      <c r="G21" s="38">
        <v>0</v>
      </c>
      <c r="H21" s="38">
        <v>0</v>
      </c>
      <c r="I21" s="38">
        <v>0</v>
      </c>
      <c r="J21" s="38">
        <v>0</v>
      </c>
      <c r="K21" s="38">
        <v>0</v>
      </c>
      <c r="L21" s="38">
        <v>0</v>
      </c>
      <c r="M21" s="38">
        <v>0</v>
      </c>
      <c r="N21" s="38">
        <v>0</v>
      </c>
      <c r="O21" s="38">
        <v>0</v>
      </c>
      <c r="P21" s="38">
        <v>0</v>
      </c>
      <c r="Q21" s="38">
        <v>0</v>
      </c>
      <c r="R21" s="38">
        <v>0</v>
      </c>
      <c r="S21" s="38">
        <v>0</v>
      </c>
      <c r="T21" s="38">
        <v>0</v>
      </c>
      <c r="U21" s="38">
        <v>0</v>
      </c>
      <c r="V21" s="38">
        <v>0</v>
      </c>
      <c r="W21" s="38">
        <v>0</v>
      </c>
      <c r="X21" s="38">
        <v>0</v>
      </c>
      <c r="Y21" s="38">
        <v>0</v>
      </c>
      <c r="Z21" s="38">
        <v>0</v>
      </c>
      <c r="AA21" s="38">
        <v>0</v>
      </c>
      <c r="AB21" s="38">
        <v>0</v>
      </c>
      <c r="AC21" s="38">
        <v>0</v>
      </c>
    </row>
    <row r="22" spans="1:30" x14ac:dyDescent="0.3">
      <c r="A22" s="20"/>
      <c r="B22" s="23" t="s">
        <v>115</v>
      </c>
      <c r="C22" s="24"/>
      <c r="D22" s="20" t="s">
        <v>10</v>
      </c>
      <c r="E22" s="38">
        <f>E19+E21-E20</f>
        <v>53708.899999999994</v>
      </c>
      <c r="F22" s="38">
        <f t="shared" ref="F22:AC22" si="6">F19+F21-F20</f>
        <v>49657.714399999997</v>
      </c>
      <c r="G22" s="38">
        <f t="shared" si="6"/>
        <v>45606.528799999993</v>
      </c>
      <c r="H22" s="38">
        <f t="shared" si="6"/>
        <v>41555.343199999996</v>
      </c>
      <c r="I22" s="38">
        <f t="shared" si="6"/>
        <v>37504.157599999991</v>
      </c>
      <c r="J22" s="38">
        <f t="shared" si="6"/>
        <v>33452.971999999994</v>
      </c>
      <c r="K22" s="38">
        <f t="shared" si="6"/>
        <v>29401.786399999994</v>
      </c>
      <c r="L22" s="38">
        <f t="shared" si="6"/>
        <v>25350.600799999993</v>
      </c>
      <c r="M22" s="38">
        <f t="shared" si="6"/>
        <v>21299.415199999992</v>
      </c>
      <c r="N22" s="38">
        <f t="shared" si="6"/>
        <v>17248.229599999991</v>
      </c>
      <c r="O22" s="38">
        <f t="shared" si="6"/>
        <v>13197.043999999994</v>
      </c>
      <c r="P22" s="38">
        <f t="shared" si="6"/>
        <v>9145.8583999999973</v>
      </c>
      <c r="Q22" s="38">
        <f t="shared" si="6"/>
        <v>5094.6728000000003</v>
      </c>
      <c r="R22" s="38">
        <f t="shared" si="6"/>
        <v>1043.4872000000032</v>
      </c>
      <c r="S22" s="38">
        <f t="shared" si="6"/>
        <v>0</v>
      </c>
      <c r="T22" s="38">
        <f t="shared" si="6"/>
        <v>0</v>
      </c>
      <c r="U22" s="38">
        <f t="shared" si="6"/>
        <v>0</v>
      </c>
      <c r="V22" s="38">
        <f t="shared" si="6"/>
        <v>0</v>
      </c>
      <c r="W22" s="38">
        <f t="shared" si="6"/>
        <v>0</v>
      </c>
      <c r="X22" s="38">
        <f t="shared" si="6"/>
        <v>0</v>
      </c>
      <c r="Y22" s="38">
        <f t="shared" si="6"/>
        <v>0</v>
      </c>
      <c r="Z22" s="38">
        <f t="shared" si="6"/>
        <v>0</v>
      </c>
      <c r="AA22" s="38">
        <f t="shared" si="6"/>
        <v>0</v>
      </c>
      <c r="AB22" s="38">
        <f t="shared" si="6"/>
        <v>0</v>
      </c>
      <c r="AC22" s="38">
        <f t="shared" si="6"/>
        <v>0</v>
      </c>
    </row>
    <row r="23" spans="1:30" x14ac:dyDescent="0.3">
      <c r="A23" s="20"/>
      <c r="B23" s="21" t="s">
        <v>116</v>
      </c>
      <c r="C23" s="21"/>
      <c r="D23" s="20" t="s">
        <v>10</v>
      </c>
      <c r="E23" s="38">
        <f>'Cost Requirement'!G13*'Cost Requirement'!C3</f>
        <v>0</v>
      </c>
      <c r="F23" s="38">
        <f>'Cost Requirement'!H13*'Cost Requirement'!D3</f>
        <v>0</v>
      </c>
      <c r="G23" s="38">
        <f>'Cost Requirement'!I13*'Cost Requirement'!E3</f>
        <v>0</v>
      </c>
      <c r="H23" s="38">
        <f>'Cost Requirement'!J13*'Cost Requirement'!F3</f>
        <v>0</v>
      </c>
      <c r="I23" s="38">
        <f>'Cost Requirement'!K13*'Cost Requirement'!G3</f>
        <v>0</v>
      </c>
      <c r="J23" s="38">
        <f>'Cost Requirement'!L13*'Cost Requirement'!H3</f>
        <v>0</v>
      </c>
      <c r="K23" s="38">
        <f>'Cost Requirement'!M13*'Cost Requirement'!I3</f>
        <v>0</v>
      </c>
      <c r="L23" s="38">
        <f>'Cost Requirement'!N13*'Cost Requirement'!J3</f>
        <v>0</v>
      </c>
      <c r="M23" s="38">
        <f>'Cost Requirement'!O13*'Cost Requirement'!K3</f>
        <v>0</v>
      </c>
      <c r="N23" s="38">
        <f>'Cost Requirement'!P13*'Cost Requirement'!L3</f>
        <v>0</v>
      </c>
      <c r="O23" s="38">
        <f>'Cost Requirement'!Q13*'Cost Requirement'!M3</f>
        <v>0</v>
      </c>
      <c r="P23" s="38">
        <f>'Cost Requirement'!R13*'Cost Requirement'!N3</f>
        <v>0</v>
      </c>
      <c r="Q23" s="38">
        <f>'Cost Requirement'!S13*'Cost Requirement'!O3</f>
        <v>0</v>
      </c>
      <c r="R23" s="38">
        <f>'Cost Requirement'!T13*'Cost Requirement'!P3</f>
        <v>0</v>
      </c>
      <c r="S23" s="38">
        <f>'Cost Requirement'!U13*'Cost Requirement'!Q3</f>
        <v>0</v>
      </c>
      <c r="T23" s="38">
        <f>'Cost Requirement'!V13*'Cost Requirement'!R3</f>
        <v>0</v>
      </c>
      <c r="U23" s="38">
        <f>'Cost Requirement'!W13*'Cost Requirement'!S3</f>
        <v>0</v>
      </c>
      <c r="V23" s="38">
        <f>'Cost Requirement'!X13*'Cost Requirement'!T3</f>
        <v>0</v>
      </c>
      <c r="W23" s="38">
        <f>'Cost Requirement'!Y13*'Cost Requirement'!U3</f>
        <v>0</v>
      </c>
      <c r="X23" s="38">
        <f>'Cost Requirement'!Z13*'Cost Requirement'!V3</f>
        <v>0</v>
      </c>
      <c r="Y23" s="38">
        <f>'Cost Requirement'!AA13*'Cost Requirement'!W3</f>
        <v>0</v>
      </c>
      <c r="Z23" s="38">
        <f>'Cost Requirement'!AB13*'Cost Requirement'!X3</f>
        <v>0</v>
      </c>
      <c r="AA23" s="38">
        <f>'Cost Requirement'!AC13*'Cost Requirement'!Y3</f>
        <v>0</v>
      </c>
      <c r="AB23" s="38">
        <f>'Cost Requirement'!AD13*'Cost Requirement'!Z3</f>
        <v>0</v>
      </c>
      <c r="AC23" s="38">
        <f>'Cost Requirement'!AE13*'Cost Requirement'!AA3</f>
        <v>0</v>
      </c>
    </row>
    <row r="24" spans="1:30" x14ac:dyDescent="0.3">
      <c r="A24" s="20"/>
      <c r="B24" s="21" t="s">
        <v>117</v>
      </c>
      <c r="C24" s="21"/>
      <c r="D24" s="20" t="s">
        <v>10</v>
      </c>
      <c r="E24" s="38">
        <f>MIN(E35,E22+E23)</f>
        <v>4051.1855999999998</v>
      </c>
      <c r="F24" s="38">
        <f t="shared" ref="F24:AC24" si="7">MIN(F35,F22+F23)</f>
        <v>4051.1855999999998</v>
      </c>
      <c r="G24" s="38">
        <f t="shared" si="7"/>
        <v>4051.1855999999998</v>
      </c>
      <c r="H24" s="38">
        <f t="shared" si="7"/>
        <v>4051.1855999999998</v>
      </c>
      <c r="I24" s="38">
        <f t="shared" si="7"/>
        <v>4051.1855999999998</v>
      </c>
      <c r="J24" s="38">
        <f t="shared" si="7"/>
        <v>4051.1855999999998</v>
      </c>
      <c r="K24" s="38">
        <f t="shared" si="7"/>
        <v>4051.1855999999998</v>
      </c>
      <c r="L24" s="38">
        <f t="shared" si="7"/>
        <v>4051.1855999999998</v>
      </c>
      <c r="M24" s="38">
        <f t="shared" si="7"/>
        <v>4051.1855999999998</v>
      </c>
      <c r="N24" s="38">
        <f t="shared" si="7"/>
        <v>4051.1855999999998</v>
      </c>
      <c r="O24" s="38">
        <f t="shared" si="7"/>
        <v>4051.1855999999998</v>
      </c>
      <c r="P24" s="38">
        <f t="shared" si="7"/>
        <v>4051.1855999999998</v>
      </c>
      <c r="Q24" s="38">
        <f t="shared" si="7"/>
        <v>4051.1855999999998</v>
      </c>
      <c r="R24" s="38">
        <f t="shared" si="7"/>
        <v>1043.4872000000032</v>
      </c>
      <c r="S24" s="38">
        <f t="shared" si="7"/>
        <v>0</v>
      </c>
      <c r="T24" s="38">
        <f t="shared" si="7"/>
        <v>0</v>
      </c>
      <c r="U24" s="38">
        <f t="shared" si="7"/>
        <v>0</v>
      </c>
      <c r="V24" s="38">
        <f t="shared" si="7"/>
        <v>0</v>
      </c>
      <c r="W24" s="38">
        <f t="shared" si="7"/>
        <v>0</v>
      </c>
      <c r="X24" s="38">
        <f t="shared" si="7"/>
        <v>0</v>
      </c>
      <c r="Y24" s="38">
        <f t="shared" si="7"/>
        <v>0</v>
      </c>
      <c r="Z24" s="38">
        <f t="shared" si="7"/>
        <v>0</v>
      </c>
      <c r="AA24" s="38">
        <f t="shared" si="7"/>
        <v>0</v>
      </c>
      <c r="AB24" s="38">
        <f t="shared" si="7"/>
        <v>0</v>
      </c>
      <c r="AC24" s="38">
        <f t="shared" si="7"/>
        <v>0</v>
      </c>
    </row>
    <row r="25" spans="1:30" x14ac:dyDescent="0.3">
      <c r="A25" s="20"/>
      <c r="B25" s="21" t="s">
        <v>118</v>
      </c>
      <c r="C25" s="21"/>
      <c r="D25" s="20" t="s">
        <v>10</v>
      </c>
      <c r="E25" s="38">
        <f>E19+E23-E24</f>
        <v>49657.714399999997</v>
      </c>
      <c r="F25" s="38">
        <f>F19+F23-F24</f>
        <v>45606.5288</v>
      </c>
      <c r="G25" s="38">
        <f t="shared" ref="G25:AC25" si="8">G19+G23-G24</f>
        <v>41555.343199999996</v>
      </c>
      <c r="H25" s="38">
        <f t="shared" si="8"/>
        <v>37504.157599999999</v>
      </c>
      <c r="I25" s="38">
        <f t="shared" si="8"/>
        <v>33452.971999999994</v>
      </c>
      <c r="J25" s="38">
        <f t="shared" si="8"/>
        <v>29401.786399999994</v>
      </c>
      <c r="K25" s="38">
        <f t="shared" si="8"/>
        <v>25350.600799999993</v>
      </c>
      <c r="L25" s="38">
        <f t="shared" si="8"/>
        <v>21299.415199999992</v>
      </c>
      <c r="M25" s="38">
        <f t="shared" si="8"/>
        <v>17248.229599999991</v>
      </c>
      <c r="N25" s="38">
        <f t="shared" si="8"/>
        <v>13197.043999999991</v>
      </c>
      <c r="O25" s="38">
        <f t="shared" si="8"/>
        <v>9145.8583999999937</v>
      </c>
      <c r="P25" s="38">
        <f t="shared" si="8"/>
        <v>5094.6727999999976</v>
      </c>
      <c r="Q25" s="38">
        <f t="shared" si="8"/>
        <v>1043.4872000000005</v>
      </c>
      <c r="R25" s="38">
        <f t="shared" si="8"/>
        <v>0</v>
      </c>
      <c r="S25" s="38">
        <f t="shared" si="8"/>
        <v>0</v>
      </c>
      <c r="T25" s="38">
        <f t="shared" si="8"/>
        <v>0</v>
      </c>
      <c r="U25" s="38">
        <f t="shared" si="8"/>
        <v>0</v>
      </c>
      <c r="V25" s="38">
        <f t="shared" si="8"/>
        <v>0</v>
      </c>
      <c r="W25" s="38">
        <f t="shared" si="8"/>
        <v>0</v>
      </c>
      <c r="X25" s="38">
        <f t="shared" si="8"/>
        <v>0</v>
      </c>
      <c r="Y25" s="38">
        <f t="shared" si="8"/>
        <v>0</v>
      </c>
      <c r="Z25" s="38">
        <f t="shared" si="8"/>
        <v>0</v>
      </c>
      <c r="AA25" s="38">
        <f t="shared" si="8"/>
        <v>0</v>
      </c>
      <c r="AB25" s="38">
        <f t="shared" si="8"/>
        <v>0</v>
      </c>
      <c r="AC25" s="38">
        <f t="shared" si="8"/>
        <v>0</v>
      </c>
    </row>
    <row r="26" spans="1:30" x14ac:dyDescent="0.3">
      <c r="A26" s="20"/>
      <c r="B26" s="21" t="s">
        <v>119</v>
      </c>
      <c r="C26" s="21"/>
      <c r="D26" s="20" t="s">
        <v>10</v>
      </c>
      <c r="E26" s="38">
        <f>AVERAGE(E25,E22)</f>
        <v>51683.307199999996</v>
      </c>
      <c r="F26" s="38">
        <f t="shared" ref="F26:AC26" si="9">AVERAGE(F25,F22)</f>
        <v>47632.121599999999</v>
      </c>
      <c r="G26" s="38">
        <f t="shared" si="9"/>
        <v>43580.935999999994</v>
      </c>
      <c r="H26" s="38">
        <f t="shared" si="9"/>
        <v>39529.750399999997</v>
      </c>
      <c r="I26" s="38">
        <f t="shared" si="9"/>
        <v>35478.564799999993</v>
      </c>
      <c r="J26" s="38">
        <f t="shared" si="9"/>
        <v>31427.379199999996</v>
      </c>
      <c r="K26" s="38">
        <f t="shared" si="9"/>
        <v>27376.193599999991</v>
      </c>
      <c r="L26" s="38">
        <f t="shared" si="9"/>
        <v>23325.007999999994</v>
      </c>
      <c r="M26" s="38">
        <f t="shared" si="9"/>
        <v>19273.82239999999</v>
      </c>
      <c r="N26" s="38">
        <f t="shared" si="9"/>
        <v>15222.636799999991</v>
      </c>
      <c r="O26" s="38">
        <f t="shared" si="9"/>
        <v>11171.451199999994</v>
      </c>
      <c r="P26" s="38">
        <f t="shared" si="9"/>
        <v>7120.265599999997</v>
      </c>
      <c r="Q26" s="38">
        <f t="shared" si="9"/>
        <v>3069.0800000000004</v>
      </c>
      <c r="R26" s="38">
        <f t="shared" si="9"/>
        <v>521.74360000000161</v>
      </c>
      <c r="S26" s="38">
        <f t="shared" si="9"/>
        <v>0</v>
      </c>
      <c r="T26" s="38">
        <f t="shared" si="9"/>
        <v>0</v>
      </c>
      <c r="U26" s="38">
        <f t="shared" si="9"/>
        <v>0</v>
      </c>
      <c r="V26" s="38">
        <f t="shared" si="9"/>
        <v>0</v>
      </c>
      <c r="W26" s="38">
        <f t="shared" si="9"/>
        <v>0</v>
      </c>
      <c r="X26" s="38">
        <f t="shared" si="9"/>
        <v>0</v>
      </c>
      <c r="Y26" s="38">
        <f t="shared" si="9"/>
        <v>0</v>
      </c>
      <c r="Z26" s="38">
        <f t="shared" si="9"/>
        <v>0</v>
      </c>
      <c r="AA26" s="38">
        <f t="shared" si="9"/>
        <v>0</v>
      </c>
      <c r="AB26" s="38">
        <f t="shared" si="9"/>
        <v>0</v>
      </c>
      <c r="AC26" s="38">
        <f t="shared" si="9"/>
        <v>0</v>
      </c>
    </row>
    <row r="27" spans="1:30" x14ac:dyDescent="0.3">
      <c r="A27" s="20"/>
      <c r="B27" s="21" t="s">
        <v>120</v>
      </c>
      <c r="C27" s="21"/>
      <c r="D27" s="20" t="s">
        <v>61</v>
      </c>
      <c r="E27" s="39">
        <f>'Input Sheet'!D12</f>
        <v>7.1999999999999995E-2</v>
      </c>
      <c r="F27" s="39">
        <f>'Input Sheet'!E12</f>
        <v>7.1999999999999995E-2</v>
      </c>
      <c r="G27" s="39">
        <f>'Input Sheet'!F12</f>
        <v>7.1999999999999995E-2</v>
      </c>
      <c r="H27" s="39">
        <f>'Input Sheet'!G12</f>
        <v>7.1999999999999995E-2</v>
      </c>
      <c r="I27" s="39">
        <f>'Input Sheet'!H12</f>
        <v>7.1999999999999995E-2</v>
      </c>
      <c r="J27" s="39">
        <f>'Input Sheet'!I12</f>
        <v>7.1999999999999995E-2</v>
      </c>
      <c r="K27" s="39">
        <f>'Input Sheet'!J12</f>
        <v>7.1999999999999995E-2</v>
      </c>
      <c r="L27" s="39">
        <f>'Input Sheet'!K12</f>
        <v>7.1999999999999995E-2</v>
      </c>
      <c r="M27" s="39">
        <f>'Input Sheet'!L12</f>
        <v>7.1999999999999995E-2</v>
      </c>
      <c r="N27" s="39">
        <f>'Input Sheet'!M12</f>
        <v>7.1999999999999995E-2</v>
      </c>
      <c r="O27" s="39">
        <f>'Input Sheet'!N12</f>
        <v>7.1999999999999995E-2</v>
      </c>
      <c r="P27" s="39">
        <f>'Input Sheet'!O12</f>
        <v>7.1999999999999995E-2</v>
      </c>
      <c r="Q27" s="39">
        <f>'Input Sheet'!P12</f>
        <v>7.1999999999999995E-2</v>
      </c>
      <c r="R27" s="39">
        <f>'Input Sheet'!Q12</f>
        <v>7.1999999999999995E-2</v>
      </c>
      <c r="S27" s="39">
        <f>'Input Sheet'!R12</f>
        <v>7.1999999999999995E-2</v>
      </c>
      <c r="T27" s="39">
        <f>'Input Sheet'!S12</f>
        <v>7.1999999999999995E-2</v>
      </c>
      <c r="U27" s="39">
        <f>'Input Sheet'!T12</f>
        <v>7.1999999999999995E-2</v>
      </c>
      <c r="V27" s="39">
        <f>'Input Sheet'!U12</f>
        <v>7.1999999999999995E-2</v>
      </c>
      <c r="W27" s="39">
        <f>'Input Sheet'!V12</f>
        <v>7.1999999999999995E-2</v>
      </c>
      <c r="X27" s="39">
        <f>'Input Sheet'!W12</f>
        <v>7.1999999999999995E-2</v>
      </c>
      <c r="Y27" s="39">
        <f>'Input Sheet'!X12</f>
        <v>7.1999999999999995E-2</v>
      </c>
      <c r="Z27" s="39">
        <f>'Input Sheet'!Y12</f>
        <v>7.1999999999999995E-2</v>
      </c>
      <c r="AA27" s="39">
        <f>'Input Sheet'!Z12</f>
        <v>7.1999999999999995E-2</v>
      </c>
      <c r="AB27" s="39">
        <f>'Input Sheet'!AA12</f>
        <v>7.1999999999999995E-2</v>
      </c>
      <c r="AC27" s="39">
        <f>'Input Sheet'!AB12</f>
        <v>7.1999999999999995E-2</v>
      </c>
    </row>
    <row r="28" spans="1:30" x14ac:dyDescent="0.3">
      <c r="A28" s="20"/>
      <c r="B28" s="19" t="s">
        <v>25</v>
      </c>
      <c r="C28" s="19"/>
      <c r="D28" s="20" t="s">
        <v>10</v>
      </c>
      <c r="E28" s="38">
        <f>E26*E27</f>
        <v>3721.1981183999992</v>
      </c>
      <c r="F28" s="38">
        <f t="shared" ref="F28:AC28" si="10">F26*F27</f>
        <v>3429.5127551999994</v>
      </c>
      <c r="G28" s="38">
        <f t="shared" si="10"/>
        <v>3137.8273919999992</v>
      </c>
      <c r="H28" s="38">
        <f t="shared" si="10"/>
        <v>2846.1420287999995</v>
      </c>
      <c r="I28" s="38">
        <f t="shared" si="10"/>
        <v>2554.4566655999993</v>
      </c>
      <c r="J28" s="38">
        <f t="shared" si="10"/>
        <v>2262.7713023999995</v>
      </c>
      <c r="K28" s="38">
        <f t="shared" si="10"/>
        <v>1971.0859391999993</v>
      </c>
      <c r="L28" s="38">
        <f t="shared" si="10"/>
        <v>1679.4005759999995</v>
      </c>
      <c r="M28" s="38">
        <f t="shared" si="10"/>
        <v>1387.7152127999991</v>
      </c>
      <c r="N28" s="38">
        <f t="shared" si="10"/>
        <v>1096.0298495999994</v>
      </c>
      <c r="O28" s="38">
        <f t="shared" si="10"/>
        <v>804.34448639999948</v>
      </c>
      <c r="P28" s="38">
        <f t="shared" si="10"/>
        <v>512.65912319999973</v>
      </c>
      <c r="Q28" s="38">
        <f t="shared" si="10"/>
        <v>220.97376</v>
      </c>
      <c r="R28" s="38">
        <f t="shared" si="10"/>
        <v>37.56553920000011</v>
      </c>
      <c r="S28" s="38">
        <f t="shared" si="10"/>
        <v>0</v>
      </c>
      <c r="T28" s="38">
        <f t="shared" si="10"/>
        <v>0</v>
      </c>
      <c r="U28" s="38">
        <f t="shared" si="10"/>
        <v>0</v>
      </c>
      <c r="V28" s="38">
        <f t="shared" si="10"/>
        <v>0</v>
      </c>
      <c r="W28" s="38">
        <f t="shared" si="10"/>
        <v>0</v>
      </c>
      <c r="X28" s="38">
        <f t="shared" si="10"/>
        <v>0</v>
      </c>
      <c r="Y28" s="38">
        <f t="shared" si="10"/>
        <v>0</v>
      </c>
      <c r="Z28" s="38">
        <f t="shared" si="10"/>
        <v>0</v>
      </c>
      <c r="AA28" s="38">
        <f t="shared" si="10"/>
        <v>0</v>
      </c>
      <c r="AB28" s="38">
        <f t="shared" si="10"/>
        <v>0</v>
      </c>
      <c r="AC28" s="38">
        <f t="shared" si="10"/>
        <v>0</v>
      </c>
    </row>
    <row r="29" spans="1:30" s="25" customFormat="1" x14ac:dyDescent="0.3"/>
    <row r="30" spans="1:30" s="40" customFormat="1" x14ac:dyDescent="0.3">
      <c r="A30" s="32"/>
      <c r="B30" s="59" t="s">
        <v>20</v>
      </c>
      <c r="C30" s="59"/>
      <c r="D30" s="33"/>
      <c r="E30" s="33"/>
      <c r="F30" s="33"/>
      <c r="G30" s="33"/>
      <c r="H30" s="33"/>
      <c r="I30" s="33"/>
      <c r="J30" s="33"/>
      <c r="K30" s="33"/>
      <c r="L30" s="33"/>
      <c r="M30" s="33"/>
      <c r="N30" s="33"/>
      <c r="O30" s="33"/>
      <c r="P30" s="33"/>
      <c r="Q30" s="33"/>
      <c r="R30" s="33"/>
      <c r="S30" s="33"/>
      <c r="T30" s="33"/>
      <c r="U30" s="33"/>
      <c r="V30" s="33"/>
      <c r="W30" s="33"/>
      <c r="X30" s="33"/>
      <c r="Y30" s="33"/>
      <c r="Z30" s="33"/>
      <c r="AA30" s="33"/>
      <c r="AB30" s="33"/>
      <c r="AC30" s="33"/>
    </row>
    <row r="31" spans="1:30" x14ac:dyDescent="0.3">
      <c r="A31" s="32"/>
      <c r="B31" s="32" t="s">
        <v>123</v>
      </c>
      <c r="C31" s="32"/>
      <c r="D31" s="33" t="s">
        <v>10</v>
      </c>
      <c r="E31" s="31">
        <f>'Cost Requirement'!G14</f>
        <v>76727</v>
      </c>
      <c r="F31" s="31">
        <f>E31</f>
        <v>76727</v>
      </c>
      <c r="G31" s="31">
        <f t="shared" ref="G31:AC31" si="11">F31</f>
        <v>76727</v>
      </c>
      <c r="H31" s="31">
        <f t="shared" si="11"/>
        <v>76727</v>
      </c>
      <c r="I31" s="31">
        <f t="shared" si="11"/>
        <v>76727</v>
      </c>
      <c r="J31" s="31">
        <f t="shared" si="11"/>
        <v>76727</v>
      </c>
      <c r="K31" s="31">
        <f t="shared" si="11"/>
        <v>76727</v>
      </c>
      <c r="L31" s="31">
        <f t="shared" si="11"/>
        <v>76727</v>
      </c>
      <c r="M31" s="31">
        <f t="shared" si="11"/>
        <v>76727</v>
      </c>
      <c r="N31" s="31">
        <f t="shared" si="11"/>
        <v>76727</v>
      </c>
      <c r="O31" s="31">
        <f t="shared" si="11"/>
        <v>76727</v>
      </c>
      <c r="P31" s="31">
        <f t="shared" si="11"/>
        <v>76727</v>
      </c>
      <c r="Q31" s="31">
        <f t="shared" si="11"/>
        <v>76727</v>
      </c>
      <c r="R31" s="31">
        <f t="shared" si="11"/>
        <v>76727</v>
      </c>
      <c r="S31" s="31">
        <f t="shared" si="11"/>
        <v>76727</v>
      </c>
      <c r="T31" s="31">
        <f t="shared" si="11"/>
        <v>76727</v>
      </c>
      <c r="U31" s="31">
        <f t="shared" si="11"/>
        <v>76727</v>
      </c>
      <c r="V31" s="31">
        <f t="shared" si="11"/>
        <v>76727</v>
      </c>
      <c r="W31" s="31">
        <f t="shared" si="11"/>
        <v>76727</v>
      </c>
      <c r="X31" s="31">
        <f t="shared" si="11"/>
        <v>76727</v>
      </c>
      <c r="Y31" s="31">
        <f t="shared" si="11"/>
        <v>76727</v>
      </c>
      <c r="Z31" s="31">
        <f t="shared" si="11"/>
        <v>76727</v>
      </c>
      <c r="AA31" s="31">
        <f t="shared" si="11"/>
        <v>76727</v>
      </c>
      <c r="AB31" s="31">
        <f t="shared" si="11"/>
        <v>76727</v>
      </c>
      <c r="AC31" s="31">
        <f t="shared" si="11"/>
        <v>76727</v>
      </c>
    </row>
    <row r="32" spans="1:30" x14ac:dyDescent="0.3">
      <c r="A32" s="32"/>
      <c r="B32" s="32" t="s">
        <v>124</v>
      </c>
      <c r="C32" s="32"/>
      <c r="D32" s="33"/>
      <c r="E32" s="34">
        <f>'Input Sheet'!D3</f>
        <v>5.28E-2</v>
      </c>
      <c r="F32" s="34">
        <f>'Input Sheet'!E3</f>
        <v>5.28E-2</v>
      </c>
      <c r="G32" s="34">
        <f>'Input Sheet'!F3</f>
        <v>5.28E-2</v>
      </c>
      <c r="H32" s="34">
        <f>'Input Sheet'!G3</f>
        <v>5.28E-2</v>
      </c>
      <c r="I32" s="34">
        <f>'Input Sheet'!H3</f>
        <v>5.28E-2</v>
      </c>
      <c r="J32" s="34">
        <f>'Input Sheet'!I3</f>
        <v>5.28E-2</v>
      </c>
      <c r="K32" s="34">
        <f>'Input Sheet'!J3</f>
        <v>5.28E-2</v>
      </c>
      <c r="L32" s="34">
        <f>'Input Sheet'!K3</f>
        <v>5.28E-2</v>
      </c>
      <c r="M32" s="34">
        <f>'Input Sheet'!L3</f>
        <v>5.28E-2</v>
      </c>
      <c r="N32" s="34">
        <f>'Input Sheet'!M3</f>
        <v>5.28E-2</v>
      </c>
      <c r="O32" s="34">
        <f>'Input Sheet'!N3</f>
        <v>5.28E-2</v>
      </c>
      <c r="P32" s="34">
        <f>'Input Sheet'!O3</f>
        <v>5.28E-2</v>
      </c>
      <c r="Q32" s="34">
        <f>'Input Sheet'!P3</f>
        <v>5.28E-2</v>
      </c>
      <c r="R32" s="34">
        <f>'Input Sheet'!Q3</f>
        <v>1.78E-2</v>
      </c>
      <c r="S32" s="34">
        <f>'Input Sheet'!R3</f>
        <v>1.78E-2</v>
      </c>
      <c r="T32" s="34">
        <f>'Input Sheet'!S3</f>
        <v>1.78E-2</v>
      </c>
      <c r="U32" s="34">
        <f>'Input Sheet'!T3</f>
        <v>1.78E-2</v>
      </c>
      <c r="V32" s="34">
        <f>'Input Sheet'!U3</f>
        <v>1.78E-2</v>
      </c>
      <c r="W32" s="34">
        <f>'Input Sheet'!V3</f>
        <v>1.78E-2</v>
      </c>
      <c r="X32" s="34">
        <f>'Input Sheet'!W3</f>
        <v>1.78E-2</v>
      </c>
      <c r="Y32" s="34">
        <f>'Input Sheet'!X3</f>
        <v>1.78E-2</v>
      </c>
      <c r="Z32" s="34">
        <f>'Input Sheet'!Y3</f>
        <v>1.78E-2</v>
      </c>
      <c r="AA32" s="34">
        <f>'Input Sheet'!Z3</f>
        <v>1.78E-2</v>
      </c>
      <c r="AB32" s="34">
        <f>'Input Sheet'!AA3</f>
        <v>1.78E-2</v>
      </c>
      <c r="AC32" s="34">
        <f>'Input Sheet'!AB3</f>
        <v>1.78E-2</v>
      </c>
    </row>
    <row r="33" spans="1:43" x14ac:dyDescent="0.3">
      <c r="A33" s="32"/>
      <c r="B33" s="32" t="s">
        <v>131</v>
      </c>
      <c r="C33" s="32"/>
      <c r="D33" s="33" t="s">
        <v>10</v>
      </c>
      <c r="E33" s="31">
        <f>E31*0.9</f>
        <v>69054.3</v>
      </c>
      <c r="F33" s="31">
        <f t="shared" ref="F33:AC33" si="12">F31*0.9</f>
        <v>69054.3</v>
      </c>
      <c r="G33" s="31">
        <f t="shared" si="12"/>
        <v>69054.3</v>
      </c>
      <c r="H33" s="31">
        <f t="shared" si="12"/>
        <v>69054.3</v>
      </c>
      <c r="I33" s="31">
        <f t="shared" si="12"/>
        <v>69054.3</v>
      </c>
      <c r="J33" s="31">
        <f t="shared" si="12"/>
        <v>69054.3</v>
      </c>
      <c r="K33" s="31">
        <f t="shared" si="12"/>
        <v>69054.3</v>
      </c>
      <c r="L33" s="31">
        <f t="shared" si="12"/>
        <v>69054.3</v>
      </c>
      <c r="M33" s="31">
        <f t="shared" si="12"/>
        <v>69054.3</v>
      </c>
      <c r="N33" s="31">
        <f t="shared" si="12"/>
        <v>69054.3</v>
      </c>
      <c r="O33" s="31">
        <f t="shared" si="12"/>
        <v>69054.3</v>
      </c>
      <c r="P33" s="31">
        <f t="shared" si="12"/>
        <v>69054.3</v>
      </c>
      <c r="Q33" s="31">
        <f t="shared" si="12"/>
        <v>69054.3</v>
      </c>
      <c r="R33" s="31">
        <f t="shared" si="12"/>
        <v>69054.3</v>
      </c>
      <c r="S33" s="31">
        <f t="shared" si="12"/>
        <v>69054.3</v>
      </c>
      <c r="T33" s="31">
        <f t="shared" si="12"/>
        <v>69054.3</v>
      </c>
      <c r="U33" s="31">
        <f t="shared" si="12"/>
        <v>69054.3</v>
      </c>
      <c r="V33" s="31">
        <f t="shared" si="12"/>
        <v>69054.3</v>
      </c>
      <c r="W33" s="31">
        <f t="shared" si="12"/>
        <v>69054.3</v>
      </c>
      <c r="X33" s="31">
        <f t="shared" si="12"/>
        <v>69054.3</v>
      </c>
      <c r="Y33" s="31">
        <f t="shared" si="12"/>
        <v>69054.3</v>
      </c>
      <c r="Z33" s="31">
        <f t="shared" si="12"/>
        <v>69054.3</v>
      </c>
      <c r="AA33" s="31">
        <f t="shared" si="12"/>
        <v>69054.3</v>
      </c>
      <c r="AB33" s="31">
        <f t="shared" si="12"/>
        <v>69054.3</v>
      </c>
      <c r="AC33" s="31">
        <f t="shared" si="12"/>
        <v>69054.3</v>
      </c>
      <c r="AD33" s="8"/>
      <c r="AE33" s="8"/>
      <c r="AF33" s="8"/>
      <c r="AG33" s="8"/>
      <c r="AH33" s="8"/>
      <c r="AI33" s="8"/>
      <c r="AJ33" s="8"/>
      <c r="AK33" s="8"/>
      <c r="AL33" s="2"/>
      <c r="AM33" s="2"/>
      <c r="AN33" s="2"/>
      <c r="AO33" s="2"/>
      <c r="AP33" s="2"/>
      <c r="AQ33" s="2"/>
    </row>
    <row r="34" spans="1:43" x14ac:dyDescent="0.3">
      <c r="A34" s="32"/>
      <c r="B34" s="32" t="s">
        <v>125</v>
      </c>
      <c r="C34" s="32"/>
      <c r="D34" s="33" t="s">
        <v>10</v>
      </c>
      <c r="E34" s="31">
        <f>IF('Input Sheet'!D14&lt;='Input Sheet'!$D$4,'Basic Tariff Model'!$E$33,$Q$34-$Q$36)</f>
        <v>69054.3</v>
      </c>
      <c r="F34" s="31">
        <f>IF('Input Sheet'!E14&lt;='Input Sheet'!$D$4,'Basic Tariff Model'!$E$33,$Q$34-$Q$36)</f>
        <v>69054.3</v>
      </c>
      <c r="G34" s="31">
        <f>IF('Input Sheet'!F14&lt;='Input Sheet'!$D$4,'Basic Tariff Model'!$E$33,$Q$34-$Q$36)</f>
        <v>69054.3</v>
      </c>
      <c r="H34" s="31">
        <f>IF('Input Sheet'!G14&lt;='Input Sheet'!$D$4,'Basic Tariff Model'!$E$33,$Q$34-$Q$36)</f>
        <v>69054.3</v>
      </c>
      <c r="I34" s="31">
        <f>IF('Input Sheet'!H14&lt;='Input Sheet'!$D$4,'Basic Tariff Model'!$E$33,$Q$34-$Q$36)</f>
        <v>69054.3</v>
      </c>
      <c r="J34" s="31">
        <f>IF('Input Sheet'!I14&lt;='Input Sheet'!$D$4,'Basic Tariff Model'!$E$33,$Q$34-$Q$36)</f>
        <v>69054.3</v>
      </c>
      <c r="K34" s="31">
        <f>IF('Input Sheet'!J14&lt;='Input Sheet'!$D$4,'Basic Tariff Model'!$E$33,$Q$34-$Q$36)</f>
        <v>69054.3</v>
      </c>
      <c r="L34" s="31">
        <f>IF('Input Sheet'!K14&lt;='Input Sheet'!$D$4,'Basic Tariff Model'!$E$33,$Q$34-$Q$36)</f>
        <v>69054.3</v>
      </c>
      <c r="M34" s="31">
        <f>IF('Input Sheet'!L14&lt;='Input Sheet'!$D$4,'Basic Tariff Model'!$E$33,$Q$34-$Q$36)</f>
        <v>69054.3</v>
      </c>
      <c r="N34" s="31">
        <f>IF('Input Sheet'!M14&lt;='Input Sheet'!$D$4,'Basic Tariff Model'!$E$33,$Q$34-$Q$36)</f>
        <v>69054.3</v>
      </c>
      <c r="O34" s="31">
        <f>IF('Input Sheet'!N14&lt;='Input Sheet'!$D$4,'Basic Tariff Model'!$E$33,$Q$34-$Q$36)</f>
        <v>69054.3</v>
      </c>
      <c r="P34" s="31">
        <f>IF('Input Sheet'!O14&lt;='Input Sheet'!$D$4,'Basic Tariff Model'!$E$33,$Q$34-$Q$36)</f>
        <v>69054.3</v>
      </c>
      <c r="Q34" s="31">
        <f>IF('Input Sheet'!P14&lt;='Input Sheet'!$D$4,'Basic Tariff Model'!$E$33,$Q$34-$Q$36)</f>
        <v>69054.3</v>
      </c>
      <c r="R34" s="31">
        <f>IF('Input Sheet'!Q14&lt;='Input Sheet'!$D$4,'Basic Tariff Model'!$E$33,$Q$34-$Q$36)</f>
        <v>16388.887200000012</v>
      </c>
      <c r="S34" s="31">
        <f>IF('Input Sheet'!R14&lt;='Input Sheet'!$D$4,'Basic Tariff Model'!$E$33,$Q$34-$Q$36)</f>
        <v>16388.887200000012</v>
      </c>
      <c r="T34" s="31">
        <f>IF('Input Sheet'!S14&lt;='Input Sheet'!$D$4,'Basic Tariff Model'!$E$33,$Q$34-$Q$36)</f>
        <v>16388.887200000012</v>
      </c>
      <c r="U34" s="31">
        <f>IF('Input Sheet'!T14&lt;='Input Sheet'!$D$4,'Basic Tariff Model'!$E$33,$Q$34-$Q$36)</f>
        <v>16388.887200000012</v>
      </c>
      <c r="V34" s="31">
        <f>IF('Input Sheet'!U14&lt;='Input Sheet'!$D$4,'Basic Tariff Model'!$E$33,$Q$34-$Q$36)</f>
        <v>16388.887200000012</v>
      </c>
      <c r="W34" s="31">
        <f>IF('Input Sheet'!V14&lt;='Input Sheet'!$D$4,'Basic Tariff Model'!$E$33,$Q$34-$Q$36)</f>
        <v>16388.887200000012</v>
      </c>
      <c r="X34" s="31">
        <f>IF('Input Sheet'!W14&lt;='Input Sheet'!$D$4,'Basic Tariff Model'!$E$33,$Q$34-$Q$36)</f>
        <v>16388.887200000012</v>
      </c>
      <c r="Y34" s="31">
        <f>IF('Input Sheet'!X14&lt;='Input Sheet'!$D$4,'Basic Tariff Model'!$E$33,$Q$34-$Q$36)</f>
        <v>16388.887200000012</v>
      </c>
      <c r="Z34" s="31">
        <f>IF('Input Sheet'!Y14&lt;='Input Sheet'!$D$4,'Basic Tariff Model'!$E$33,$Q$34-$Q$36)</f>
        <v>16388.887200000012</v>
      </c>
      <c r="AA34" s="31">
        <f>IF('Input Sheet'!Z14&lt;='Input Sheet'!$D$4,'Basic Tariff Model'!$E$33,$Q$34-$Q$36)</f>
        <v>16388.887200000012</v>
      </c>
      <c r="AB34" s="31">
        <f>IF('Input Sheet'!AA14&lt;='Input Sheet'!$D$4,'Basic Tariff Model'!$E$33,$Q$34-$Q$36)</f>
        <v>16388.887200000012</v>
      </c>
      <c r="AC34" s="31">
        <f>IF('Input Sheet'!AB14&lt;='Input Sheet'!$D$4,'Basic Tariff Model'!$E$33,$Q$34-$Q$36)</f>
        <v>16388.887200000012</v>
      </c>
    </row>
    <row r="35" spans="1:43" x14ac:dyDescent="0.3">
      <c r="A35" s="35"/>
      <c r="B35" s="32" t="s">
        <v>126</v>
      </c>
      <c r="C35" s="35"/>
      <c r="D35" s="33" t="s">
        <v>10</v>
      </c>
      <c r="E35" s="31">
        <f>MIN('Basic Tariff Model'!E31*'Basic Tariff Model'!E32,'Basic Tariff Model'!E34)</f>
        <v>4051.1855999999998</v>
      </c>
      <c r="F35" s="31">
        <f>MIN('Basic Tariff Model'!F31*'Basic Tariff Model'!F32,'Basic Tariff Model'!F34)</f>
        <v>4051.1855999999998</v>
      </c>
      <c r="G35" s="31">
        <f>MIN('Basic Tariff Model'!G31*'Basic Tariff Model'!G32,'Basic Tariff Model'!G34)</f>
        <v>4051.1855999999998</v>
      </c>
      <c r="H35" s="31">
        <f>MIN('Basic Tariff Model'!H31*'Basic Tariff Model'!H32,'Basic Tariff Model'!H34)</f>
        <v>4051.1855999999998</v>
      </c>
      <c r="I35" s="31">
        <f>MIN('Basic Tariff Model'!I31*'Basic Tariff Model'!I32,'Basic Tariff Model'!I34)</f>
        <v>4051.1855999999998</v>
      </c>
      <c r="J35" s="31">
        <f>MIN('Basic Tariff Model'!J31*'Basic Tariff Model'!J32,'Basic Tariff Model'!J34)</f>
        <v>4051.1855999999998</v>
      </c>
      <c r="K35" s="31">
        <f>MIN('Basic Tariff Model'!K31*'Basic Tariff Model'!K32,'Basic Tariff Model'!K34)</f>
        <v>4051.1855999999998</v>
      </c>
      <c r="L35" s="31">
        <f>MIN('Basic Tariff Model'!L31*'Basic Tariff Model'!L32,'Basic Tariff Model'!L34)</f>
        <v>4051.1855999999998</v>
      </c>
      <c r="M35" s="31">
        <f>MIN('Basic Tariff Model'!M31*'Basic Tariff Model'!M32,'Basic Tariff Model'!M34)</f>
        <v>4051.1855999999998</v>
      </c>
      <c r="N35" s="31">
        <f>MIN('Basic Tariff Model'!N31*'Basic Tariff Model'!N32,'Basic Tariff Model'!N34)</f>
        <v>4051.1855999999998</v>
      </c>
      <c r="O35" s="31">
        <f>MIN('Basic Tariff Model'!O31*'Basic Tariff Model'!O32,'Basic Tariff Model'!O34)</f>
        <v>4051.1855999999998</v>
      </c>
      <c r="P35" s="31">
        <f>MIN('Basic Tariff Model'!P31*'Basic Tariff Model'!P32,'Basic Tariff Model'!P34)</f>
        <v>4051.1855999999998</v>
      </c>
      <c r="Q35" s="31">
        <f>MIN('Basic Tariff Model'!Q31*'Basic Tariff Model'!Q32,'Basic Tariff Model'!Q34)</f>
        <v>4051.1855999999998</v>
      </c>
      <c r="R35" s="31">
        <f>MIN('Basic Tariff Model'!R31*'Basic Tariff Model'!R32,'Basic Tariff Model'!R34)</f>
        <v>1365.7406000000001</v>
      </c>
      <c r="S35" s="31">
        <f>MIN('Basic Tariff Model'!S31*'Basic Tariff Model'!S32,'Basic Tariff Model'!S34)</f>
        <v>1365.7406000000001</v>
      </c>
      <c r="T35" s="31">
        <f>MIN('Basic Tariff Model'!T31*'Basic Tariff Model'!T32,'Basic Tariff Model'!T34)</f>
        <v>1365.7406000000001</v>
      </c>
      <c r="U35" s="31">
        <f>MIN('Basic Tariff Model'!U31*'Basic Tariff Model'!U32,'Basic Tariff Model'!U34)</f>
        <v>1365.7406000000001</v>
      </c>
      <c r="V35" s="31">
        <f>MIN('Basic Tariff Model'!V31*'Basic Tariff Model'!V32,'Basic Tariff Model'!V34)</f>
        <v>1365.7406000000001</v>
      </c>
      <c r="W35" s="31">
        <f>MIN('Basic Tariff Model'!W31*'Basic Tariff Model'!W32,'Basic Tariff Model'!W34)</f>
        <v>1365.7406000000001</v>
      </c>
      <c r="X35" s="31">
        <f>MIN('Basic Tariff Model'!X31*'Basic Tariff Model'!X32,'Basic Tariff Model'!X34)</f>
        <v>1365.7406000000001</v>
      </c>
      <c r="Y35" s="31">
        <f>MIN('Basic Tariff Model'!Y31*'Basic Tariff Model'!Y32,'Basic Tariff Model'!Y34)</f>
        <v>1365.7406000000001</v>
      </c>
      <c r="Z35" s="31">
        <f>MIN('Basic Tariff Model'!Z31*'Basic Tariff Model'!Z32,'Basic Tariff Model'!Z34)</f>
        <v>1365.7406000000001</v>
      </c>
      <c r="AA35" s="31">
        <f>MIN('Basic Tariff Model'!AA31*'Basic Tariff Model'!AA32,'Basic Tariff Model'!AA34)</f>
        <v>1365.7406000000001</v>
      </c>
      <c r="AB35" s="31">
        <f>MIN('Basic Tariff Model'!AB31*'Basic Tariff Model'!AB32,'Basic Tariff Model'!AB34)</f>
        <v>1365.7406000000001</v>
      </c>
      <c r="AC35" s="31">
        <f>MIN('Basic Tariff Model'!AC31*'Basic Tariff Model'!AC32,'Basic Tariff Model'!AC34)</f>
        <v>1365.7406000000001</v>
      </c>
    </row>
    <row r="36" spans="1:43" x14ac:dyDescent="0.3">
      <c r="A36" s="32"/>
      <c r="B36" s="32" t="s">
        <v>127</v>
      </c>
      <c r="C36" s="32"/>
      <c r="D36" s="33" t="s">
        <v>10</v>
      </c>
      <c r="E36" s="31">
        <f>E35</f>
        <v>4051.1855999999998</v>
      </c>
      <c r="F36" s="31">
        <f>E36+F35</f>
        <v>8102.3711999999996</v>
      </c>
      <c r="G36" s="31">
        <f t="shared" ref="G36:R36" si="13">F36+G35</f>
        <v>12153.556799999998</v>
      </c>
      <c r="H36" s="31">
        <f t="shared" si="13"/>
        <v>16204.742399999999</v>
      </c>
      <c r="I36" s="31">
        <f t="shared" si="13"/>
        <v>20255.928</v>
      </c>
      <c r="J36" s="31">
        <f t="shared" si="13"/>
        <v>24307.113600000001</v>
      </c>
      <c r="K36" s="31">
        <f t="shared" si="13"/>
        <v>28358.299200000001</v>
      </c>
      <c r="L36" s="31">
        <f t="shared" si="13"/>
        <v>32409.484800000002</v>
      </c>
      <c r="M36" s="31">
        <f t="shared" si="13"/>
        <v>36460.670400000003</v>
      </c>
      <c r="N36" s="31">
        <f t="shared" si="13"/>
        <v>40511.856</v>
      </c>
      <c r="O36" s="31">
        <f t="shared" si="13"/>
        <v>44563.041599999997</v>
      </c>
      <c r="P36" s="31">
        <f t="shared" si="13"/>
        <v>48614.227199999994</v>
      </c>
      <c r="Q36" s="31">
        <f t="shared" si="13"/>
        <v>52665.412799999991</v>
      </c>
      <c r="R36" s="31">
        <f t="shared" si="13"/>
        <v>54031.153399999988</v>
      </c>
      <c r="S36" s="31">
        <f t="shared" ref="S36" si="14">R36+S35</f>
        <v>55396.893999999986</v>
      </c>
      <c r="T36" s="31">
        <f t="shared" ref="T36" si="15">S36+T35</f>
        <v>56762.634599999983</v>
      </c>
      <c r="U36" s="31">
        <f t="shared" ref="U36" si="16">T36+U35</f>
        <v>58128.37519999998</v>
      </c>
      <c r="V36" s="31">
        <f t="shared" ref="V36" si="17">U36+V35</f>
        <v>59494.115799999978</v>
      </c>
      <c r="W36" s="31">
        <f t="shared" ref="W36" si="18">V36+W35</f>
        <v>60859.856399999975</v>
      </c>
      <c r="X36" s="31">
        <f t="shared" ref="X36" si="19">W36+X35</f>
        <v>62225.596999999972</v>
      </c>
      <c r="Y36" s="31">
        <f t="shared" ref="Y36" si="20">X36+Y35</f>
        <v>63591.33759999997</v>
      </c>
      <c r="Z36" s="31">
        <f t="shared" ref="Z36" si="21">Y36+Z35</f>
        <v>64957.078199999967</v>
      </c>
      <c r="AA36" s="31">
        <f t="shared" ref="AA36" si="22">Z36+AA35</f>
        <v>66322.818799999965</v>
      </c>
      <c r="AB36" s="31">
        <f t="shared" ref="AB36" si="23">AA36+AB35</f>
        <v>67688.559399999969</v>
      </c>
      <c r="AC36" s="31">
        <f t="shared" ref="AC36" si="24">AB36+AC35</f>
        <v>69054.299999999974</v>
      </c>
    </row>
    <row r="37" spans="1:43" ht="28.8" x14ac:dyDescent="0.3">
      <c r="A37" s="36"/>
      <c r="B37" s="36" t="s">
        <v>128</v>
      </c>
      <c r="C37" s="36"/>
      <c r="D37" s="33" t="s">
        <v>10</v>
      </c>
      <c r="E37" s="31">
        <v>0</v>
      </c>
      <c r="F37" s="31">
        <v>0</v>
      </c>
      <c r="G37" s="31">
        <v>0</v>
      </c>
      <c r="H37" s="31">
        <v>0</v>
      </c>
      <c r="I37" s="31">
        <v>0</v>
      </c>
      <c r="J37" s="31">
        <v>0</v>
      </c>
      <c r="K37" s="31">
        <v>0</v>
      </c>
      <c r="L37" s="31">
        <v>0</v>
      </c>
      <c r="M37" s="31">
        <v>0</v>
      </c>
      <c r="N37" s="31">
        <v>0</v>
      </c>
      <c r="O37" s="31">
        <v>0</v>
      </c>
      <c r="P37" s="31">
        <v>0</v>
      </c>
      <c r="Q37" s="31">
        <v>0</v>
      </c>
      <c r="R37" s="31">
        <v>0</v>
      </c>
      <c r="S37" s="31">
        <v>0</v>
      </c>
      <c r="T37" s="31">
        <v>0</v>
      </c>
      <c r="U37" s="31">
        <v>0</v>
      </c>
      <c r="V37" s="31">
        <v>0</v>
      </c>
      <c r="W37" s="31">
        <v>0</v>
      </c>
      <c r="X37" s="31">
        <v>0</v>
      </c>
      <c r="Y37" s="31">
        <v>0</v>
      </c>
      <c r="Z37" s="31">
        <v>0</v>
      </c>
      <c r="AA37" s="31">
        <v>0</v>
      </c>
      <c r="AB37" s="31">
        <v>0</v>
      </c>
      <c r="AC37" s="31">
        <v>0</v>
      </c>
    </row>
    <row r="38" spans="1:43" ht="28.8" x14ac:dyDescent="0.3">
      <c r="A38" s="37"/>
      <c r="B38" s="37" t="s">
        <v>129</v>
      </c>
      <c r="C38" s="37"/>
      <c r="D38" s="33" t="s">
        <v>10</v>
      </c>
      <c r="E38" s="31">
        <v>0</v>
      </c>
      <c r="F38" s="31">
        <v>0</v>
      </c>
      <c r="G38" s="31">
        <v>0</v>
      </c>
      <c r="H38" s="31">
        <v>0</v>
      </c>
      <c r="I38" s="31">
        <v>0</v>
      </c>
      <c r="J38" s="31">
        <v>0</v>
      </c>
      <c r="K38" s="31">
        <v>0</v>
      </c>
      <c r="L38" s="31">
        <v>0</v>
      </c>
      <c r="M38" s="31">
        <v>0</v>
      </c>
      <c r="N38" s="31">
        <v>0</v>
      </c>
      <c r="O38" s="31">
        <v>0</v>
      </c>
      <c r="P38" s="31">
        <v>0</v>
      </c>
      <c r="Q38" s="31">
        <v>0</v>
      </c>
      <c r="R38" s="31">
        <v>0</v>
      </c>
      <c r="S38" s="31">
        <v>0</v>
      </c>
      <c r="T38" s="31">
        <v>0</v>
      </c>
      <c r="U38" s="31">
        <v>0</v>
      </c>
      <c r="V38" s="31">
        <v>0</v>
      </c>
      <c r="W38" s="31">
        <v>0</v>
      </c>
      <c r="X38" s="31">
        <v>0</v>
      </c>
      <c r="Y38" s="31">
        <v>0</v>
      </c>
      <c r="Z38" s="31">
        <v>0</v>
      </c>
      <c r="AA38" s="31">
        <v>0</v>
      </c>
      <c r="AB38" s="31">
        <v>0</v>
      </c>
      <c r="AC38" s="31">
        <v>0</v>
      </c>
    </row>
    <row r="39" spans="1:43" ht="30.75" customHeight="1" x14ac:dyDescent="0.3">
      <c r="A39" s="37"/>
      <c r="B39" s="37" t="s">
        <v>130</v>
      </c>
      <c r="C39" s="37"/>
      <c r="D39" s="33" t="s">
        <v>10</v>
      </c>
      <c r="E39" s="31">
        <f>E36+E37-E38</f>
        <v>4051.1855999999998</v>
      </c>
      <c r="F39" s="31">
        <f>F36+F37-F38</f>
        <v>8102.3711999999996</v>
      </c>
      <c r="G39" s="31">
        <f t="shared" ref="G39:R39" si="25">G36+G37-G38</f>
        <v>12153.556799999998</v>
      </c>
      <c r="H39" s="31">
        <f t="shared" si="25"/>
        <v>16204.742399999999</v>
      </c>
      <c r="I39" s="31">
        <f t="shared" si="25"/>
        <v>20255.928</v>
      </c>
      <c r="J39" s="31">
        <f t="shared" si="25"/>
        <v>24307.113600000001</v>
      </c>
      <c r="K39" s="31">
        <f t="shared" si="25"/>
        <v>28358.299200000001</v>
      </c>
      <c r="L39" s="31">
        <f t="shared" si="25"/>
        <v>32409.484800000002</v>
      </c>
      <c r="M39" s="31">
        <f t="shared" si="25"/>
        <v>36460.670400000003</v>
      </c>
      <c r="N39" s="31">
        <f t="shared" si="25"/>
        <v>40511.856</v>
      </c>
      <c r="O39" s="31">
        <f t="shared" si="25"/>
        <v>44563.041599999997</v>
      </c>
      <c r="P39" s="31">
        <f t="shared" si="25"/>
        <v>48614.227199999994</v>
      </c>
      <c r="Q39" s="31">
        <f t="shared" si="25"/>
        <v>52665.412799999991</v>
      </c>
      <c r="R39" s="31">
        <f t="shared" si="25"/>
        <v>54031.153399999988</v>
      </c>
      <c r="S39" s="31">
        <f t="shared" ref="S39" si="26">S36+S37-S38</f>
        <v>55396.893999999986</v>
      </c>
      <c r="T39" s="31">
        <f t="shared" ref="T39" si="27">T36+T37-T38</f>
        <v>56762.634599999983</v>
      </c>
      <c r="U39" s="31">
        <f t="shared" ref="U39" si="28">U36+U37-U38</f>
        <v>58128.37519999998</v>
      </c>
      <c r="V39" s="31">
        <f t="shared" ref="V39" si="29">V36+V37-V38</f>
        <v>59494.115799999978</v>
      </c>
      <c r="W39" s="31">
        <f t="shared" ref="W39" si="30">W36+W37-W38</f>
        <v>60859.856399999975</v>
      </c>
      <c r="X39" s="31">
        <f t="shared" ref="X39" si="31">X36+X37-X38</f>
        <v>62225.596999999972</v>
      </c>
      <c r="Y39" s="31">
        <f t="shared" ref="Y39" si="32">Y36+Y37-Y38</f>
        <v>63591.33759999997</v>
      </c>
      <c r="Z39" s="31">
        <f t="shared" ref="Z39" si="33">Z36+Z37-Z38</f>
        <v>64957.078199999967</v>
      </c>
      <c r="AA39" s="31">
        <f t="shared" ref="AA39" si="34">AA36+AA37-AA38</f>
        <v>66322.818799999965</v>
      </c>
      <c r="AB39" s="31">
        <f t="shared" ref="AB39" si="35">AB36+AB37-AB38</f>
        <v>67688.559399999969</v>
      </c>
      <c r="AC39" s="31">
        <f t="shared" ref="AC39" si="36">AC36+AC37-AC38</f>
        <v>69054.299999999974</v>
      </c>
    </row>
    <row r="40" spans="1:43" s="26" customFormat="1" x14ac:dyDescent="0.3"/>
    <row r="41" spans="1:43" x14ac:dyDescent="0.3">
      <c r="A41" s="27"/>
      <c r="B41" s="28" t="s">
        <v>134</v>
      </c>
      <c r="C41" s="28"/>
      <c r="D41" s="29" t="s">
        <v>10</v>
      </c>
      <c r="E41" s="41">
        <f>'Input Sheet'!D20*'Cost Requirement'!$C$2</f>
        <v>459.95399999999995</v>
      </c>
      <c r="F41" s="41">
        <f>'Input Sheet'!E20*'Cost Requirement'!$C$2</f>
        <v>459.95399999999995</v>
      </c>
      <c r="G41" s="41">
        <f>'Input Sheet'!F20*'Cost Requirement'!$C$2</f>
        <v>482.95169999999996</v>
      </c>
      <c r="H41" s="41">
        <f>'Input Sheet'!G20*'Cost Requirement'!$C$2</f>
        <v>482.95169999999996</v>
      </c>
      <c r="I41" s="41">
        <f>'Input Sheet'!H20*'Cost Requirement'!$C$2</f>
        <v>507.09928499999995</v>
      </c>
      <c r="J41" s="41">
        <f>'Input Sheet'!I20*'Cost Requirement'!$C$2</f>
        <v>507.09928499999995</v>
      </c>
      <c r="K41" s="41">
        <f>'Input Sheet'!J20*'Cost Requirement'!$C$2</f>
        <v>532.45424924999998</v>
      </c>
      <c r="L41" s="41">
        <f>'Input Sheet'!K20*'Cost Requirement'!$C$2</f>
        <v>532.45424924999998</v>
      </c>
      <c r="M41" s="41">
        <f>'Input Sheet'!L20*'Cost Requirement'!$C$2</f>
        <v>532.45424924999998</v>
      </c>
      <c r="N41" s="41">
        <f>'Input Sheet'!M20*'Cost Requirement'!$C$2</f>
        <v>532.45424924999998</v>
      </c>
      <c r="O41" s="41">
        <f>'Input Sheet'!N20*'Cost Requirement'!$C$2</f>
        <v>532.45424924999998</v>
      </c>
      <c r="P41" s="41">
        <f>'Input Sheet'!O20*'Cost Requirement'!$C$2</f>
        <v>532.45424924999998</v>
      </c>
      <c r="Q41" s="41">
        <f>'Input Sheet'!P20*'Cost Requirement'!$C$2</f>
        <v>532.45424924999998</v>
      </c>
      <c r="R41" s="41">
        <f>'Input Sheet'!Q20*'Cost Requirement'!$C$2</f>
        <v>532.45424924999998</v>
      </c>
      <c r="S41" s="41">
        <f>'Input Sheet'!R20*'Cost Requirement'!$C$2</f>
        <v>532.45424924999998</v>
      </c>
      <c r="T41" s="41">
        <f>'Input Sheet'!S20*'Cost Requirement'!$C$2</f>
        <v>532.45424924999998</v>
      </c>
      <c r="U41" s="41">
        <f>'Input Sheet'!T20*'Cost Requirement'!$C$2</f>
        <v>532.45424924999998</v>
      </c>
      <c r="V41" s="41">
        <f>'Input Sheet'!U20*'Cost Requirement'!$C$2</f>
        <v>532.45424924999998</v>
      </c>
      <c r="W41" s="41">
        <f>'Input Sheet'!V20*'Cost Requirement'!$C$2</f>
        <v>532.45424924999998</v>
      </c>
      <c r="X41" s="41">
        <f>'Input Sheet'!W20*'Cost Requirement'!$C$2</f>
        <v>532.45424924999998</v>
      </c>
      <c r="Y41" s="41">
        <f>'Input Sheet'!X20*'Cost Requirement'!$C$2</f>
        <v>532.45424924999998</v>
      </c>
      <c r="Z41" s="41">
        <f>'Input Sheet'!Y20*'Cost Requirement'!$C$2</f>
        <v>532.45424924999998</v>
      </c>
      <c r="AA41" s="41">
        <f>'Input Sheet'!Z20*'Cost Requirement'!$C$2</f>
        <v>532.45424924999998</v>
      </c>
      <c r="AB41" s="41">
        <f>'Input Sheet'!AA20*'Cost Requirement'!$C$2</f>
        <v>532.45424924999998</v>
      </c>
      <c r="AC41" s="41">
        <f>'Input Sheet'!AB20*'Cost Requirement'!$C$2</f>
        <v>532.45424924999998</v>
      </c>
    </row>
    <row r="42" spans="1:43" x14ac:dyDescent="0.3">
      <c r="A42" s="30"/>
      <c r="B42" s="27" t="s">
        <v>133</v>
      </c>
      <c r="C42" s="27"/>
      <c r="D42" s="29" t="s">
        <v>10</v>
      </c>
      <c r="E42" s="41">
        <f>IF('Input Sheet'!D14&lt;=5,'Input Sheet'!D19,'Input Sheet'!D19*(1+'Input Sheet'!D18)^('Input Sheet'!D14-1))*'Cost Requirement'!$C$2</f>
        <v>840</v>
      </c>
      <c r="F42" s="41">
        <f>IF('Input Sheet'!E14&lt;=5,'Input Sheet'!E19,'Input Sheet'!E19*(1+'Input Sheet'!E18)^('Input Sheet'!E14-1))*'Cost Requirement'!$C$2</f>
        <v>888.04799999999989</v>
      </c>
      <c r="G42" s="41">
        <f>IF('Input Sheet'!F14&lt;=5,'Input Sheet'!F19,'Input Sheet'!F19*(1+'Input Sheet'!F18)^('Input Sheet'!F14-1))*'Cost Requirement'!$C$2</f>
        <v>938.84434559999988</v>
      </c>
      <c r="H42" s="41">
        <f>IF('Input Sheet'!G14&lt;=5,'Input Sheet'!G19,'Input Sheet'!G19*(1+'Input Sheet'!G18)^('Input Sheet'!G14-1))*'Cost Requirement'!$C$2</f>
        <v>992.54624216831985</v>
      </c>
      <c r="I42" s="41">
        <f>IF('Input Sheet'!H14&lt;=5,'Input Sheet'!H19,'Input Sheet'!H19*(1+'Input Sheet'!H18)^('Input Sheet'!H14-1))*'Cost Requirement'!$C$2</f>
        <v>1049.3198872203477</v>
      </c>
      <c r="J42" s="41">
        <f>IF('Input Sheet'!I14&lt;=5,'Input Sheet'!I19,'Input Sheet'!I19*(1+'Input Sheet'!I18)^('Input Sheet'!I14-1))*'Cost Requirement'!$C$2</f>
        <v>1901.7274024617452</v>
      </c>
      <c r="K42" s="41">
        <f>IF('Input Sheet'!J14&lt;=5,'Input Sheet'!J19,'Input Sheet'!J19*(1+'Input Sheet'!J18)^('Input Sheet'!J14-1))*'Cost Requirement'!$C$2</f>
        <v>2010.5062098825572</v>
      </c>
      <c r="L42" s="41">
        <f>IF('Input Sheet'!K14&lt;=5,'Input Sheet'!K19,'Input Sheet'!K19*(1+'Input Sheet'!K18)^('Input Sheet'!K14-1))*'Cost Requirement'!$C$2</f>
        <v>2125.5071650878394</v>
      </c>
      <c r="M42" s="41">
        <f>IF('Input Sheet'!L14&lt;=5,'Input Sheet'!L19,'Input Sheet'!L19*(1+'Input Sheet'!L18)^('Input Sheet'!L14-1))*'Cost Requirement'!$C$2</f>
        <v>2247.0861749308638</v>
      </c>
      <c r="N42" s="41">
        <f>IF('Input Sheet'!M14&lt;=5,'Input Sheet'!M19,'Input Sheet'!M19*(1+'Input Sheet'!M18)^('Input Sheet'!M14-1))*'Cost Requirement'!$C$2</f>
        <v>2375.6195041369092</v>
      </c>
      <c r="O42" s="41">
        <f>IF('Input Sheet'!N14&lt;=5,'Input Sheet'!N19,'Input Sheet'!N19*(1+'Input Sheet'!N18)^('Input Sheet'!N14-1))*'Cost Requirement'!$C$2</f>
        <v>2511.5049397735402</v>
      </c>
      <c r="P42" s="41">
        <f>IF('Input Sheet'!O14&lt;=5,'Input Sheet'!O19,'Input Sheet'!O19*(1+'Input Sheet'!O18)^('Input Sheet'!O14-1))*'Cost Requirement'!$C$2</f>
        <v>2655.1630223285861</v>
      </c>
      <c r="Q42" s="41">
        <f>IF('Input Sheet'!P14&lt;=5,'Input Sheet'!P19,'Input Sheet'!P19*(1+'Input Sheet'!P18)^('Input Sheet'!P14-1))*'Cost Requirement'!$C$2</f>
        <v>2807.0383472057815</v>
      </c>
      <c r="R42" s="41">
        <f>IF('Input Sheet'!Q14&lt;=5,'Input Sheet'!Q19,'Input Sheet'!Q19*(1+'Input Sheet'!Q18)^('Input Sheet'!Q14-1))*'Cost Requirement'!$C$2</f>
        <v>2967.6009406659518</v>
      </c>
      <c r="S42" s="41">
        <f>IF('Input Sheet'!R14&lt;=5,'Input Sheet'!R19,'Input Sheet'!R19*(1+'Input Sheet'!R18)^('Input Sheet'!R14-1))*'Cost Requirement'!$C$2</f>
        <v>3137.3477144720441</v>
      </c>
      <c r="T42" s="41">
        <f>IF('Input Sheet'!S14&lt;=5,'Input Sheet'!S19,'Input Sheet'!S19*(1+'Input Sheet'!S18)^('Input Sheet'!S14-1))*'Cost Requirement'!$C$2</f>
        <v>3316.8040037398446</v>
      </c>
      <c r="U42" s="41">
        <f>IF('Input Sheet'!T14&lt;=5,'Input Sheet'!T19,'Input Sheet'!T19*(1+'Input Sheet'!T18)^('Input Sheet'!T14-1))*'Cost Requirement'!$C$2</f>
        <v>3506.5251927537638</v>
      </c>
      <c r="V42" s="41">
        <f>IF('Input Sheet'!U14&lt;=5,'Input Sheet'!U19,'Input Sheet'!U19*(1+'Input Sheet'!U18)^('Input Sheet'!U14-1))*'Cost Requirement'!$C$2</f>
        <v>3707.0984337792788</v>
      </c>
      <c r="W42" s="41">
        <f>IF('Input Sheet'!V14&lt;=5,'Input Sheet'!V19,'Input Sheet'!V19*(1+'Input Sheet'!V18)^('Input Sheet'!V14-1))*'Cost Requirement'!$C$2</f>
        <v>3919.1444641914536</v>
      </c>
      <c r="X42" s="41">
        <f>IF('Input Sheet'!W14&lt;=5,'Input Sheet'!W19,'Input Sheet'!W19*(1+'Input Sheet'!W18)^('Input Sheet'!W14-1))*'Cost Requirement'!$C$2</f>
        <v>4143.3195275432045</v>
      </c>
      <c r="Y42" s="41">
        <f>IF('Input Sheet'!X14&lt;=5,'Input Sheet'!X19,'Input Sheet'!X19*(1+'Input Sheet'!X18)^('Input Sheet'!X14-1))*'Cost Requirement'!$C$2</f>
        <v>4380.3174045186761</v>
      </c>
      <c r="Z42" s="41">
        <f>IF('Input Sheet'!Y14&lt;=5,'Input Sheet'!Y19,'Input Sheet'!Y19*(1+'Input Sheet'!Y18)^('Input Sheet'!Y14-1))*'Cost Requirement'!$C$2</f>
        <v>4630.8715600571431</v>
      </c>
      <c r="AA42" s="41">
        <f>IF('Input Sheet'!Z14&lt;=5,'Input Sheet'!Z19,'Input Sheet'!Z19*(1+'Input Sheet'!Z18)^('Input Sheet'!Z14-1))*'Cost Requirement'!$C$2</f>
        <v>4895.7574132924119</v>
      </c>
      <c r="AB42" s="41">
        <f>IF('Input Sheet'!AA14&lt;=5,'Input Sheet'!AA19,'Input Sheet'!AA19*(1+'Input Sheet'!AA18)^('Input Sheet'!AA14-1))*'Cost Requirement'!$C$2</f>
        <v>5175.7947373327379</v>
      </c>
      <c r="AC42" s="41">
        <f>IF('Input Sheet'!AB14&lt;=5,'Input Sheet'!AB19,'Input Sheet'!AB19*(1+'Input Sheet'!AB18)^('Input Sheet'!AB14-1))*'Cost Requirement'!$C$2</f>
        <v>5471.8501963081699</v>
      </c>
    </row>
    <row r="43" spans="1:43" x14ac:dyDescent="0.3">
      <c r="A43" s="28"/>
      <c r="B43" s="28" t="s">
        <v>177</v>
      </c>
      <c r="C43" s="28"/>
      <c r="D43" s="28" t="s">
        <v>10</v>
      </c>
      <c r="E43" s="114">
        <f>IF(E2&lt;=5,1*'Cost Requirement'!$C$2,0)</f>
        <v>240</v>
      </c>
      <c r="F43" s="114">
        <f>IF(F2&lt;=5,1*'Cost Requirement'!$C$2,0)</f>
        <v>240</v>
      </c>
      <c r="G43" s="114">
        <f>IF(G2&lt;=5,1*'Cost Requirement'!$C$2,0)</f>
        <v>240</v>
      </c>
      <c r="H43" s="114">
        <f>IF(H2&lt;=5,1*'Cost Requirement'!$C$2,0)</f>
        <v>240</v>
      </c>
      <c r="I43" s="114">
        <f>IF(I2&lt;=5,1*'Cost Requirement'!$C$2,0)</f>
        <v>240</v>
      </c>
      <c r="J43" s="114">
        <f>IF(J2&lt;=5,1*'Cost Requirement'!$C$2,0)</f>
        <v>0</v>
      </c>
      <c r="K43" s="114">
        <f>IF(K2&lt;=5,1*'Cost Requirement'!$C$2,0)</f>
        <v>0</v>
      </c>
      <c r="L43" s="114">
        <f>IF(L2&lt;=5,1*'Cost Requirement'!$C$2,0)</f>
        <v>0</v>
      </c>
      <c r="M43" s="114">
        <f>IF(M2&lt;=5,1*'Cost Requirement'!$C$2,0)</f>
        <v>0</v>
      </c>
      <c r="N43" s="114">
        <f>IF(N2&lt;=5,1*'Cost Requirement'!$C$2,0)</f>
        <v>0</v>
      </c>
      <c r="O43" s="114">
        <f>IF(O2&lt;=5,1*'Cost Requirement'!$C$2,0)</f>
        <v>0</v>
      </c>
      <c r="P43" s="114">
        <f>IF(P2&lt;=5,1*'Cost Requirement'!$C$2,0)</f>
        <v>0</v>
      </c>
      <c r="Q43" s="114">
        <f>IF(Q2&lt;=5,1*'Cost Requirement'!$C$2,0)</f>
        <v>0</v>
      </c>
      <c r="R43" s="114">
        <f>IF(R2&lt;=5,1*'Cost Requirement'!$C$2,0)</f>
        <v>0</v>
      </c>
      <c r="S43" s="114">
        <f>IF(S2&lt;=5,1*'Cost Requirement'!$C$2,0)</f>
        <v>0</v>
      </c>
      <c r="T43" s="114">
        <f>IF(T2&lt;=5,1*'Cost Requirement'!$C$2,0)</f>
        <v>0</v>
      </c>
      <c r="U43" s="114">
        <f>IF(U2&lt;=5,1*'Cost Requirement'!$C$2,0)</f>
        <v>0</v>
      </c>
      <c r="V43" s="114">
        <f>IF(V2&lt;=5,1*'Cost Requirement'!$C$2,0)</f>
        <v>0</v>
      </c>
      <c r="W43" s="114">
        <f>IF(W2&lt;=5,1*'Cost Requirement'!$C$2,0)</f>
        <v>0</v>
      </c>
      <c r="X43" s="114">
        <f>IF(X2&lt;=5,1*'Cost Requirement'!$C$2,0)</f>
        <v>0</v>
      </c>
      <c r="Y43" s="114">
        <f>IF(Y2&lt;=5,1*'Cost Requirement'!$C$2,0)</f>
        <v>0</v>
      </c>
      <c r="Z43" s="114">
        <f>IF(Z2&lt;=5,1*'Cost Requirement'!$C$2,0)</f>
        <v>0</v>
      </c>
      <c r="AA43" s="114">
        <f>IF(AA2&lt;=5,1*'Cost Requirement'!$C$2,0)</f>
        <v>0</v>
      </c>
      <c r="AB43" s="114">
        <f>IF(AB2&lt;=5,1*'Cost Requirement'!$C$2,0)</f>
        <v>0</v>
      </c>
      <c r="AC43" s="114">
        <f>IF(AC2&lt;=5,1*'Cost Requirement'!$C$2,0)</f>
        <v>0</v>
      </c>
    </row>
    <row r="44" spans="1:43" x14ac:dyDescent="0.3">
      <c r="A44" s="28"/>
      <c r="B44" s="28" t="s">
        <v>179</v>
      </c>
      <c r="C44" s="28"/>
      <c r="D44" s="28" t="s">
        <v>10</v>
      </c>
      <c r="E44" s="114">
        <f>'Cost Requirement'!$D$22*'Cost Requirement'!$C$2</f>
        <v>0</v>
      </c>
      <c r="F44" s="114">
        <f>'Cost Requirement'!$D$22*'Cost Requirement'!$C$2</f>
        <v>0</v>
      </c>
      <c r="G44" s="114">
        <f>'Cost Requirement'!$D$22*'Cost Requirement'!$C$2</f>
        <v>0</v>
      </c>
      <c r="H44" s="114">
        <f>'Cost Requirement'!$D$22*'Cost Requirement'!$C$2</f>
        <v>0</v>
      </c>
      <c r="I44" s="114">
        <f>'Cost Requirement'!$D$22*'Cost Requirement'!$C$2</f>
        <v>0</v>
      </c>
      <c r="J44" s="114">
        <f>'Cost Requirement'!$D$22*'Cost Requirement'!$C$2</f>
        <v>0</v>
      </c>
      <c r="K44" s="114">
        <f>'Cost Requirement'!$D$22*'Cost Requirement'!$C$2</f>
        <v>0</v>
      </c>
      <c r="L44" s="114">
        <f>'Cost Requirement'!$D$22*'Cost Requirement'!$C$2</f>
        <v>0</v>
      </c>
      <c r="M44" s="114">
        <f>'Cost Requirement'!$D$22*'Cost Requirement'!$C$2</f>
        <v>0</v>
      </c>
      <c r="N44" s="114">
        <f>'Cost Requirement'!$D$22*'Cost Requirement'!$C$2</f>
        <v>0</v>
      </c>
      <c r="O44" s="114">
        <f>'Cost Requirement'!$D$22*'Cost Requirement'!$C$2</f>
        <v>0</v>
      </c>
      <c r="P44" s="114">
        <f>'Cost Requirement'!$D$22*'Cost Requirement'!$C$2</f>
        <v>0</v>
      </c>
      <c r="Q44" s="114">
        <f>'Cost Requirement'!$D$22*'Cost Requirement'!$C$2</f>
        <v>0</v>
      </c>
      <c r="R44" s="114">
        <f>'Cost Requirement'!$D$22*'Cost Requirement'!$C$2</f>
        <v>0</v>
      </c>
      <c r="S44" s="114">
        <f>'Cost Requirement'!$D$22*'Cost Requirement'!$C$2</f>
        <v>0</v>
      </c>
      <c r="T44" s="114">
        <f>'Cost Requirement'!$D$22*'Cost Requirement'!$C$2</f>
        <v>0</v>
      </c>
      <c r="U44" s="114">
        <f>'Cost Requirement'!$D$22*'Cost Requirement'!$C$2</f>
        <v>0</v>
      </c>
      <c r="V44" s="114">
        <f>'Cost Requirement'!$D$22*'Cost Requirement'!$C$2</f>
        <v>0</v>
      </c>
      <c r="W44" s="114">
        <f>'Cost Requirement'!$D$22*'Cost Requirement'!$C$2</f>
        <v>0</v>
      </c>
      <c r="X44" s="114">
        <f>'Cost Requirement'!$D$22*'Cost Requirement'!$C$2</f>
        <v>0</v>
      </c>
      <c r="Y44" s="114">
        <f>'Cost Requirement'!$D$22*'Cost Requirement'!$C$2</f>
        <v>0</v>
      </c>
      <c r="Z44" s="114">
        <f>'Cost Requirement'!$D$22*'Cost Requirement'!$C$2</f>
        <v>0</v>
      </c>
      <c r="AA44" s="114">
        <f>'Cost Requirement'!$D$22*'Cost Requirement'!$C$2</f>
        <v>0</v>
      </c>
      <c r="AB44" s="114">
        <f>'Cost Requirement'!$D$22*'Cost Requirement'!$C$2</f>
        <v>0</v>
      </c>
      <c r="AC44" s="114">
        <f>'Cost Requirement'!$D$22*'Cost Requirement'!$C$2</f>
        <v>0</v>
      </c>
    </row>
    <row r="45" spans="1:43" x14ac:dyDescent="0.3">
      <c r="A45" s="27"/>
      <c r="B45" s="30" t="s">
        <v>132</v>
      </c>
      <c r="C45" s="30"/>
      <c r="D45" s="29"/>
      <c r="E45" s="42">
        <f>SUM(E41:E44)</f>
        <v>1539.954</v>
      </c>
      <c r="F45" s="42">
        <f>SUM(F41:F44)</f>
        <v>1588.002</v>
      </c>
      <c r="G45" s="42">
        <f t="shared" ref="G45:AC45" si="37">SUM(G41:G44)</f>
        <v>1661.7960455999998</v>
      </c>
      <c r="H45" s="42">
        <f t="shared" si="37"/>
        <v>1715.4979421683197</v>
      </c>
      <c r="I45" s="42">
        <f t="shared" si="37"/>
        <v>1796.4191722203477</v>
      </c>
      <c r="J45" s="42">
        <f t="shared" si="37"/>
        <v>2408.8266874617452</v>
      </c>
      <c r="K45" s="42">
        <f t="shared" si="37"/>
        <v>2542.9604591325569</v>
      </c>
      <c r="L45" s="42">
        <f t="shared" si="37"/>
        <v>2657.9614143378394</v>
      </c>
      <c r="M45" s="42">
        <f t="shared" si="37"/>
        <v>2779.5404241808637</v>
      </c>
      <c r="N45" s="42">
        <f t="shared" si="37"/>
        <v>2908.0737533869092</v>
      </c>
      <c r="O45" s="42">
        <f t="shared" si="37"/>
        <v>3043.9591890235401</v>
      </c>
      <c r="P45" s="42">
        <f t="shared" si="37"/>
        <v>3187.617271578586</v>
      </c>
      <c r="Q45" s="42">
        <f t="shared" si="37"/>
        <v>3339.4925964557815</v>
      </c>
      <c r="R45" s="42">
        <f t="shared" si="37"/>
        <v>3500.0551899159518</v>
      </c>
      <c r="S45" s="42">
        <f t="shared" si="37"/>
        <v>3669.8019637220441</v>
      </c>
      <c r="T45" s="42">
        <f t="shared" si="37"/>
        <v>3849.2582529898446</v>
      </c>
      <c r="U45" s="42">
        <f t="shared" si="37"/>
        <v>4038.9794420037638</v>
      </c>
      <c r="V45" s="42">
        <f t="shared" si="37"/>
        <v>4239.5526830292783</v>
      </c>
      <c r="W45" s="42">
        <f t="shared" si="37"/>
        <v>4451.5987134414536</v>
      </c>
      <c r="X45" s="42">
        <f t="shared" si="37"/>
        <v>4675.7737767932049</v>
      </c>
      <c r="Y45" s="42">
        <f t="shared" si="37"/>
        <v>4912.7716537686756</v>
      </c>
      <c r="Z45" s="42">
        <f t="shared" si="37"/>
        <v>5163.3258093071436</v>
      </c>
      <c r="AA45" s="42">
        <f t="shared" si="37"/>
        <v>5428.2116625424114</v>
      </c>
      <c r="AB45" s="42">
        <f t="shared" si="37"/>
        <v>5708.2489865827374</v>
      </c>
      <c r="AC45" s="42">
        <f t="shared" si="37"/>
        <v>6004.3044455581694</v>
      </c>
    </row>
    <row r="46" spans="1:43" s="43" customFormat="1" x14ac:dyDescent="0.3"/>
    <row r="47" spans="1:43" x14ac:dyDescent="0.3">
      <c r="A47" s="44" t="s">
        <v>135</v>
      </c>
      <c r="B47" s="45" t="s">
        <v>136</v>
      </c>
      <c r="C47" s="46"/>
      <c r="D47" s="45"/>
      <c r="E47" s="46"/>
      <c r="F47" s="46"/>
      <c r="G47" s="46"/>
      <c r="H47" s="46"/>
      <c r="I47" s="46"/>
      <c r="J47" s="46"/>
      <c r="K47" s="46"/>
      <c r="L47" s="46"/>
      <c r="M47" s="46"/>
      <c r="N47" s="46"/>
      <c r="O47" s="46"/>
      <c r="P47" s="46"/>
      <c r="Q47" s="46"/>
      <c r="R47" s="46"/>
      <c r="S47" s="46"/>
      <c r="T47" s="46"/>
      <c r="U47" s="46"/>
      <c r="V47" s="46"/>
      <c r="W47" s="46"/>
      <c r="X47" s="46"/>
      <c r="Y47" s="46"/>
      <c r="Z47" s="46"/>
      <c r="AA47" s="46"/>
      <c r="AB47" s="46"/>
      <c r="AC47" s="46"/>
    </row>
    <row r="48" spans="1:43" x14ac:dyDescent="0.3">
      <c r="A48" s="47">
        <f>'Input Sheet'!D16</f>
        <v>1</v>
      </c>
      <c r="B48" s="47" t="s">
        <v>137</v>
      </c>
      <c r="C48" s="46"/>
      <c r="D48" s="47" t="s">
        <v>10</v>
      </c>
      <c r="E48" s="49">
        <f t="shared" ref="E48:AC48" si="38">E45/12*$A$48</f>
        <v>128.3295</v>
      </c>
      <c r="F48" s="49">
        <f t="shared" si="38"/>
        <v>132.33349999999999</v>
      </c>
      <c r="G48" s="49">
        <f t="shared" si="38"/>
        <v>138.48300379999998</v>
      </c>
      <c r="H48" s="49">
        <f t="shared" si="38"/>
        <v>142.95816184735997</v>
      </c>
      <c r="I48" s="49">
        <f t="shared" si="38"/>
        <v>149.70159768502899</v>
      </c>
      <c r="J48" s="49">
        <f t="shared" si="38"/>
        <v>200.73555728847876</v>
      </c>
      <c r="K48" s="49">
        <f t="shared" si="38"/>
        <v>211.91337159437975</v>
      </c>
      <c r="L48" s="49">
        <f t="shared" si="38"/>
        <v>221.49678452815328</v>
      </c>
      <c r="M48" s="49">
        <f t="shared" si="38"/>
        <v>231.62836868173864</v>
      </c>
      <c r="N48" s="49">
        <f t="shared" si="38"/>
        <v>242.33947944890909</v>
      </c>
      <c r="O48" s="49">
        <f t="shared" si="38"/>
        <v>253.66326575196169</v>
      </c>
      <c r="P48" s="49">
        <f t="shared" si="38"/>
        <v>265.63477263154886</v>
      </c>
      <c r="Q48" s="49">
        <f t="shared" si="38"/>
        <v>278.29104970464846</v>
      </c>
      <c r="R48" s="49">
        <f t="shared" si="38"/>
        <v>291.67126582632932</v>
      </c>
      <c r="S48" s="49">
        <f t="shared" si="38"/>
        <v>305.81683031017036</v>
      </c>
      <c r="T48" s="49">
        <f t="shared" si="38"/>
        <v>320.77152108248703</v>
      </c>
      <c r="U48" s="49">
        <f t="shared" si="38"/>
        <v>336.58162016698031</v>
      </c>
      <c r="V48" s="49">
        <f t="shared" si="38"/>
        <v>353.29605691910655</v>
      </c>
      <c r="W48" s="49">
        <f t="shared" si="38"/>
        <v>370.96655945345447</v>
      </c>
      <c r="X48" s="49">
        <f t="shared" si="38"/>
        <v>389.64781473276707</v>
      </c>
      <c r="Y48" s="49">
        <f t="shared" si="38"/>
        <v>409.39763781405628</v>
      </c>
      <c r="Z48" s="49">
        <f t="shared" si="38"/>
        <v>430.27715077559532</v>
      </c>
      <c r="AA48" s="49">
        <f t="shared" si="38"/>
        <v>452.35097187853427</v>
      </c>
      <c r="AB48" s="49">
        <f t="shared" si="38"/>
        <v>475.68741554856143</v>
      </c>
      <c r="AC48" s="49">
        <f t="shared" si="38"/>
        <v>500.35870379651413</v>
      </c>
    </row>
    <row r="49" spans="1:29" x14ac:dyDescent="0.3">
      <c r="A49" s="48">
        <f>'Input Sheet'!D17</f>
        <v>0.15</v>
      </c>
      <c r="B49" s="47" t="s">
        <v>5</v>
      </c>
      <c r="C49" s="46"/>
      <c r="D49" s="47" t="s">
        <v>10</v>
      </c>
      <c r="E49" s="49">
        <f t="shared" ref="E49:AC49" si="39">E45*$A$49</f>
        <v>230.99309999999997</v>
      </c>
      <c r="F49" s="49">
        <f t="shared" si="39"/>
        <v>238.20029999999997</v>
      </c>
      <c r="G49" s="49">
        <f t="shared" si="39"/>
        <v>249.26940683999996</v>
      </c>
      <c r="H49" s="49">
        <f t="shared" si="39"/>
        <v>257.32469132524795</v>
      </c>
      <c r="I49" s="49">
        <f t="shared" si="39"/>
        <v>269.46287583305212</v>
      </c>
      <c r="J49" s="49">
        <f t="shared" si="39"/>
        <v>361.32400311926176</v>
      </c>
      <c r="K49" s="49">
        <f t="shared" si="39"/>
        <v>381.44406886988355</v>
      </c>
      <c r="L49" s="49">
        <f t="shared" si="39"/>
        <v>398.69421215067592</v>
      </c>
      <c r="M49" s="49">
        <f t="shared" si="39"/>
        <v>416.93106362712956</v>
      </c>
      <c r="N49" s="49">
        <f t="shared" si="39"/>
        <v>436.21106300803638</v>
      </c>
      <c r="O49" s="49">
        <f t="shared" si="39"/>
        <v>456.59387835353101</v>
      </c>
      <c r="P49" s="49">
        <f t="shared" si="39"/>
        <v>478.14259073678789</v>
      </c>
      <c r="Q49" s="49">
        <f t="shared" si="39"/>
        <v>500.92388946836718</v>
      </c>
      <c r="R49" s="49">
        <f t="shared" si="39"/>
        <v>525.00827848739277</v>
      </c>
      <c r="S49" s="49">
        <f t="shared" si="39"/>
        <v>550.47029455830659</v>
      </c>
      <c r="T49" s="49">
        <f t="shared" si="39"/>
        <v>577.38873794847666</v>
      </c>
      <c r="U49" s="49">
        <f t="shared" si="39"/>
        <v>605.84691630056454</v>
      </c>
      <c r="V49" s="49">
        <f t="shared" si="39"/>
        <v>635.93290245439175</v>
      </c>
      <c r="W49" s="49">
        <f t="shared" si="39"/>
        <v>667.73980701621804</v>
      </c>
      <c r="X49" s="49">
        <f t="shared" si="39"/>
        <v>701.36606651898069</v>
      </c>
      <c r="Y49" s="49">
        <f t="shared" si="39"/>
        <v>736.91574806530127</v>
      </c>
      <c r="Z49" s="49">
        <f t="shared" si="39"/>
        <v>774.49887139607154</v>
      </c>
      <c r="AA49" s="49">
        <f t="shared" si="39"/>
        <v>814.23174938136174</v>
      </c>
      <c r="AB49" s="49">
        <f t="shared" si="39"/>
        <v>856.23734798741054</v>
      </c>
      <c r="AC49" s="49">
        <f t="shared" si="39"/>
        <v>900.64566683372539</v>
      </c>
    </row>
    <row r="50" spans="1:29" x14ac:dyDescent="0.3">
      <c r="A50" s="47">
        <f>'Input Sheet'!D15</f>
        <v>2</v>
      </c>
      <c r="B50" s="47" t="s">
        <v>68</v>
      </c>
      <c r="C50" s="46"/>
      <c r="D50" s="47" t="s">
        <v>10</v>
      </c>
      <c r="E50" s="49">
        <f ca="1">E61*$A$50/12</f>
        <v>2286.2670300281648</v>
      </c>
      <c r="F50" s="49">
        <f t="shared" ref="F50:AC50" ca="1" si="40">F61*$A$50/12</f>
        <v>2245.0782382954931</v>
      </c>
      <c r="G50" s="49">
        <f t="shared" ca="1" si="40"/>
        <v>2208.3845530795679</v>
      </c>
      <c r="H50" s="49">
        <f t="shared" ca="1" si="40"/>
        <v>2168.1828980786536</v>
      </c>
      <c r="I50" s="49">
        <f t="shared" ca="1" si="40"/>
        <v>2132.7335769011556</v>
      </c>
      <c r="J50" s="49">
        <f t="shared" ca="1" si="40"/>
        <v>2190.0786017460982</v>
      </c>
      <c r="K50" s="49">
        <f t="shared" ca="1" si="40"/>
        <v>2163.9198740181514</v>
      </c>
      <c r="L50" s="49">
        <f t="shared" ca="1" si="40"/>
        <v>2134.4206702686024</v>
      </c>
      <c r="M50" s="49">
        <f t="shared" ca="1" si="40"/>
        <v>2106.0699557561584</v>
      </c>
      <c r="N50" s="49">
        <f t="shared" ca="1" si="40"/>
        <v>2078.933424065182</v>
      </c>
      <c r="O50" s="49">
        <f t="shared" ca="1" si="40"/>
        <v>2194.3911378520552</v>
      </c>
      <c r="P50" s="49">
        <f t="shared" ca="1" si="40"/>
        <v>2169.8952981881016</v>
      </c>
      <c r="Q50" s="49">
        <f t="shared" ca="1" si="40"/>
        <v>2146.8341401869488</v>
      </c>
      <c r="R50" s="49">
        <f t="shared" ca="1" si="40"/>
        <v>1687.2491630682043</v>
      </c>
      <c r="S50" s="49">
        <f t="shared" ca="1" si="40"/>
        <v>1710.5009355974862</v>
      </c>
      <c r="T50" s="49">
        <f t="shared" ca="1" si="40"/>
        <v>1741.8329369421417</v>
      </c>
      <c r="U50" s="49">
        <f t="shared" ca="1" si="40"/>
        <v>1774.9571287637118</v>
      </c>
      <c r="V50" s="49">
        <f t="shared" ca="1" si="40"/>
        <v>1809.9760243574754</v>
      </c>
      <c r="W50" s="49">
        <f t="shared" ca="1" si="40"/>
        <v>1846.9980007792021</v>
      </c>
      <c r="X50" s="49">
        <f t="shared" ca="1" si="40"/>
        <v>1886.1376342522519</v>
      </c>
      <c r="Y50" s="49">
        <f t="shared" ca="1" si="40"/>
        <v>1927.5160547599601</v>
      </c>
      <c r="Z50" s="49">
        <f t="shared" ca="1" si="40"/>
        <v>1971.2613209207093</v>
      </c>
      <c r="AA50" s="49">
        <f t="shared" ca="1" si="40"/>
        <v>2017.5088163058533</v>
      </c>
      <c r="AB50" s="49">
        <f t="shared" ca="1" si="40"/>
        <v>2066.4016684270273</v>
      </c>
      <c r="AC50" s="49">
        <f t="shared" ca="1" si="40"/>
        <v>2118.0911916895325</v>
      </c>
    </row>
    <row r="51" spans="1:29" x14ac:dyDescent="0.3">
      <c r="A51" s="44"/>
      <c r="B51" s="47" t="s">
        <v>138</v>
      </c>
      <c r="C51" s="46"/>
      <c r="D51" s="47" t="s">
        <v>10</v>
      </c>
      <c r="E51" s="49">
        <f ca="1">SUM(E48:E50)</f>
        <v>2645.5896300281647</v>
      </c>
      <c r="F51" s="49">
        <f t="shared" ref="F51:AC51" ca="1" si="41">SUM(F48:F50)</f>
        <v>2615.6120382954932</v>
      </c>
      <c r="G51" s="49">
        <f t="shared" ca="1" si="41"/>
        <v>2596.136963719568</v>
      </c>
      <c r="H51" s="49">
        <f t="shared" ca="1" si="41"/>
        <v>2568.4657512512613</v>
      </c>
      <c r="I51" s="49">
        <f t="shared" ca="1" si="41"/>
        <v>2551.8980504192368</v>
      </c>
      <c r="J51" s="49">
        <f t="shared" ca="1" si="41"/>
        <v>2752.1381621538385</v>
      </c>
      <c r="K51" s="49">
        <f t="shared" ca="1" si="41"/>
        <v>2757.2773144824146</v>
      </c>
      <c r="L51" s="49">
        <f t="shared" ca="1" si="41"/>
        <v>2754.6116669474313</v>
      </c>
      <c r="M51" s="49">
        <f t="shared" ca="1" si="41"/>
        <v>2754.6293880650264</v>
      </c>
      <c r="N51" s="49">
        <f t="shared" ca="1" si="41"/>
        <v>2757.4839665221275</v>
      </c>
      <c r="O51" s="49">
        <f t="shared" ca="1" si="41"/>
        <v>2904.6482819575476</v>
      </c>
      <c r="P51" s="49">
        <f t="shared" ca="1" si="41"/>
        <v>2913.6726615564385</v>
      </c>
      <c r="Q51" s="49">
        <f t="shared" ca="1" si="41"/>
        <v>2926.0490793599647</v>
      </c>
      <c r="R51" s="49">
        <f t="shared" ca="1" si="41"/>
        <v>2503.9287073819264</v>
      </c>
      <c r="S51" s="49">
        <f t="shared" ca="1" si="41"/>
        <v>2566.7880604659631</v>
      </c>
      <c r="T51" s="49">
        <f t="shared" ca="1" si="41"/>
        <v>2639.9931959731057</v>
      </c>
      <c r="U51" s="49">
        <f t="shared" ca="1" si="41"/>
        <v>2717.3856652312566</v>
      </c>
      <c r="V51" s="49">
        <f t="shared" ca="1" si="41"/>
        <v>2799.2049837309737</v>
      </c>
      <c r="W51" s="49">
        <f t="shared" ca="1" si="41"/>
        <v>2885.7043672488744</v>
      </c>
      <c r="X51" s="49">
        <f t="shared" ca="1" si="41"/>
        <v>2977.1515155039997</v>
      </c>
      <c r="Y51" s="49">
        <f t="shared" ca="1" si="41"/>
        <v>3073.8294406393179</v>
      </c>
      <c r="Z51" s="49">
        <f t="shared" ca="1" si="41"/>
        <v>3176.0373430923764</v>
      </c>
      <c r="AA51" s="49">
        <f t="shared" ca="1" si="41"/>
        <v>3284.0915375657496</v>
      </c>
      <c r="AB51" s="49">
        <f t="shared" ca="1" si="41"/>
        <v>3398.3264319629993</v>
      </c>
      <c r="AC51" s="49">
        <f t="shared" ca="1" si="41"/>
        <v>3519.0955623197719</v>
      </c>
    </row>
    <row r="52" spans="1:29" x14ac:dyDescent="0.3">
      <c r="A52" s="44"/>
      <c r="B52" s="47" t="s">
        <v>139</v>
      </c>
      <c r="C52" s="46"/>
      <c r="D52" s="47" t="s">
        <v>10</v>
      </c>
      <c r="E52" s="50">
        <f>'Input Sheet'!D13</f>
        <v>0.1166</v>
      </c>
      <c r="F52" s="50">
        <f>'Input Sheet'!E13</f>
        <v>0.1166</v>
      </c>
      <c r="G52" s="50">
        <f>'Input Sheet'!F13</f>
        <v>0.1166</v>
      </c>
      <c r="H52" s="50">
        <f>'Input Sheet'!G13</f>
        <v>0.1166</v>
      </c>
      <c r="I52" s="50">
        <f>'Input Sheet'!H13</f>
        <v>0.1166</v>
      </c>
      <c r="J52" s="50">
        <f>'Input Sheet'!I13</f>
        <v>0.1166</v>
      </c>
      <c r="K52" s="50">
        <f>'Input Sheet'!J13</f>
        <v>0.1166</v>
      </c>
      <c r="L52" s="50">
        <f>'Input Sheet'!K13</f>
        <v>0.1166</v>
      </c>
      <c r="M52" s="50">
        <f>'Input Sheet'!L13</f>
        <v>0.1166</v>
      </c>
      <c r="N52" s="50">
        <f>'Input Sheet'!M13</f>
        <v>0.1166</v>
      </c>
      <c r="O52" s="50">
        <f>'Input Sheet'!N13</f>
        <v>0.1166</v>
      </c>
      <c r="P52" s="50">
        <f>'Input Sheet'!O13</f>
        <v>0.1166</v>
      </c>
      <c r="Q52" s="50">
        <f>'Input Sheet'!P13</f>
        <v>0.1166</v>
      </c>
      <c r="R52" s="50">
        <f>'Input Sheet'!Q13</f>
        <v>0.1166</v>
      </c>
      <c r="S52" s="50">
        <f>'Input Sheet'!R13</f>
        <v>0.1166</v>
      </c>
      <c r="T52" s="50">
        <f>'Input Sheet'!S13</f>
        <v>0.1166</v>
      </c>
      <c r="U52" s="50">
        <f>'Input Sheet'!T13</f>
        <v>0.1166</v>
      </c>
      <c r="V52" s="50">
        <f>'Input Sheet'!U13</f>
        <v>0.1166</v>
      </c>
      <c r="W52" s="50">
        <f>'Input Sheet'!V13</f>
        <v>0.1166</v>
      </c>
      <c r="X52" s="50">
        <f>'Input Sheet'!W13</f>
        <v>0.1166</v>
      </c>
      <c r="Y52" s="50">
        <f>'Input Sheet'!X13</f>
        <v>0.1166</v>
      </c>
      <c r="Z52" s="50">
        <f>'Input Sheet'!Y13</f>
        <v>0.1166</v>
      </c>
      <c r="AA52" s="50">
        <f>'Input Sheet'!Z13</f>
        <v>0.1166</v>
      </c>
      <c r="AB52" s="50">
        <f>'Input Sheet'!AA13</f>
        <v>0.1166</v>
      </c>
      <c r="AC52" s="50">
        <f>'Input Sheet'!AB13</f>
        <v>0.1166</v>
      </c>
    </row>
    <row r="53" spans="1:29" x14ac:dyDescent="0.3">
      <c r="A53" s="44"/>
      <c r="B53" s="45" t="s">
        <v>140</v>
      </c>
      <c r="C53" s="46"/>
      <c r="D53" s="47" t="s">
        <v>10</v>
      </c>
      <c r="E53" s="49">
        <f ca="1">E51*E52</f>
        <v>308.47575086128398</v>
      </c>
      <c r="F53" s="49">
        <f t="shared" ref="F53:AC53" ca="1" si="42">F51*F52</f>
        <v>304.98036366525452</v>
      </c>
      <c r="G53" s="49">
        <f t="shared" ca="1" si="42"/>
        <v>302.70956996970165</v>
      </c>
      <c r="H53" s="49">
        <f t="shared" ca="1" si="42"/>
        <v>299.48310659589703</v>
      </c>
      <c r="I53" s="49">
        <f t="shared" ca="1" si="42"/>
        <v>297.55131267888299</v>
      </c>
      <c r="J53" s="49">
        <f t="shared" ca="1" si="42"/>
        <v>320.89930970713755</v>
      </c>
      <c r="K53" s="49">
        <f t="shared" ca="1" si="42"/>
        <v>321.49853486864953</v>
      </c>
      <c r="L53" s="49">
        <f t="shared" ca="1" si="42"/>
        <v>321.18772036607049</v>
      </c>
      <c r="M53" s="49">
        <f t="shared" ca="1" si="42"/>
        <v>321.1897866483821</v>
      </c>
      <c r="N53" s="49">
        <f t="shared" ca="1" si="42"/>
        <v>321.52263049648008</v>
      </c>
      <c r="O53" s="49">
        <f t="shared" ca="1" si="42"/>
        <v>338.68198967625005</v>
      </c>
      <c r="P53" s="49">
        <f t="shared" ca="1" si="42"/>
        <v>339.73423233748071</v>
      </c>
      <c r="Q53" s="49">
        <f t="shared" ca="1" si="42"/>
        <v>341.17732265337185</v>
      </c>
      <c r="R53" s="49">
        <f t="shared" ca="1" si="42"/>
        <v>291.95808728073263</v>
      </c>
      <c r="S53" s="49">
        <f t="shared" ca="1" si="42"/>
        <v>299.28748785033127</v>
      </c>
      <c r="T53" s="49">
        <f t="shared" ca="1" si="42"/>
        <v>307.8232066504641</v>
      </c>
      <c r="U53" s="49">
        <f t="shared" ca="1" si="42"/>
        <v>316.84716856596452</v>
      </c>
      <c r="V53" s="49">
        <f t="shared" ca="1" si="42"/>
        <v>326.38730110303152</v>
      </c>
      <c r="W53" s="49">
        <f t="shared" ca="1" si="42"/>
        <v>336.47312922121876</v>
      </c>
      <c r="X53" s="49">
        <f t="shared" ca="1" si="42"/>
        <v>347.13586670776635</v>
      </c>
      <c r="Y53" s="49">
        <f t="shared" ca="1" si="42"/>
        <v>358.40851277854443</v>
      </c>
      <c r="Z53" s="49">
        <f t="shared" ca="1" si="42"/>
        <v>370.32595420457108</v>
      </c>
      <c r="AA53" s="49">
        <f t="shared" ca="1" si="42"/>
        <v>382.92507328016637</v>
      </c>
      <c r="AB53" s="49">
        <f t="shared" ca="1" si="42"/>
        <v>396.24486196688571</v>
      </c>
      <c r="AC53" s="49">
        <f t="shared" ca="1" si="42"/>
        <v>410.32654256648539</v>
      </c>
    </row>
    <row r="54" spans="1:29" s="51" customFormat="1" x14ac:dyDescent="0.3"/>
    <row r="55" spans="1:29" x14ac:dyDescent="0.3">
      <c r="A55" s="52"/>
      <c r="B55" s="52" t="s">
        <v>180</v>
      </c>
      <c r="C55" s="52"/>
      <c r="D55" s="53"/>
      <c r="E55" s="52"/>
      <c r="F55" s="52"/>
      <c r="G55" s="52"/>
      <c r="H55" s="52"/>
      <c r="I55" s="52"/>
      <c r="J55" s="52"/>
      <c r="K55" s="52"/>
      <c r="L55" s="52"/>
      <c r="M55" s="52"/>
      <c r="N55" s="52"/>
      <c r="O55" s="52"/>
      <c r="P55" s="52"/>
      <c r="Q55" s="52"/>
      <c r="R55" s="52"/>
      <c r="S55" s="52"/>
      <c r="T55" s="52"/>
      <c r="U55" s="52"/>
      <c r="V55" s="52"/>
      <c r="W55" s="52"/>
      <c r="X55" s="52"/>
      <c r="Y55" s="52"/>
      <c r="Z55" s="52"/>
      <c r="AA55" s="52"/>
      <c r="AB55" s="52"/>
      <c r="AC55" s="52"/>
    </row>
    <row r="56" spans="1:29" x14ac:dyDescent="0.3">
      <c r="A56" s="54"/>
      <c r="B56" s="54" t="s">
        <v>142</v>
      </c>
      <c r="C56" s="54"/>
      <c r="D56" s="54" t="s">
        <v>10</v>
      </c>
      <c r="E56" s="55">
        <f t="shared" ref="E56:AC56" si="43">E45</f>
        <v>1539.954</v>
      </c>
      <c r="F56" s="55">
        <f t="shared" si="43"/>
        <v>1588.002</v>
      </c>
      <c r="G56" s="55">
        <f t="shared" si="43"/>
        <v>1661.7960455999998</v>
      </c>
      <c r="H56" s="55">
        <f t="shared" si="43"/>
        <v>1715.4979421683197</v>
      </c>
      <c r="I56" s="55">
        <f t="shared" si="43"/>
        <v>1796.4191722203477</v>
      </c>
      <c r="J56" s="55">
        <f t="shared" si="43"/>
        <v>2408.8266874617452</v>
      </c>
      <c r="K56" s="55">
        <f t="shared" si="43"/>
        <v>2542.9604591325569</v>
      </c>
      <c r="L56" s="55">
        <f t="shared" si="43"/>
        <v>2657.9614143378394</v>
      </c>
      <c r="M56" s="55">
        <f t="shared" si="43"/>
        <v>2779.5404241808637</v>
      </c>
      <c r="N56" s="55">
        <f t="shared" si="43"/>
        <v>2908.0737533869092</v>
      </c>
      <c r="O56" s="55">
        <f t="shared" si="43"/>
        <v>3043.9591890235401</v>
      </c>
      <c r="P56" s="55">
        <f t="shared" si="43"/>
        <v>3187.617271578586</v>
      </c>
      <c r="Q56" s="55">
        <f t="shared" si="43"/>
        <v>3339.4925964557815</v>
      </c>
      <c r="R56" s="55">
        <f t="shared" si="43"/>
        <v>3500.0551899159518</v>
      </c>
      <c r="S56" s="55">
        <f t="shared" si="43"/>
        <v>3669.8019637220441</v>
      </c>
      <c r="T56" s="55">
        <f t="shared" si="43"/>
        <v>3849.2582529898446</v>
      </c>
      <c r="U56" s="55">
        <f t="shared" si="43"/>
        <v>4038.9794420037638</v>
      </c>
      <c r="V56" s="55">
        <f t="shared" si="43"/>
        <v>4239.5526830292783</v>
      </c>
      <c r="W56" s="55">
        <f t="shared" si="43"/>
        <v>4451.5987134414536</v>
      </c>
      <c r="X56" s="55">
        <f t="shared" si="43"/>
        <v>4675.7737767932049</v>
      </c>
      <c r="Y56" s="55">
        <f t="shared" si="43"/>
        <v>4912.7716537686756</v>
      </c>
      <c r="Z56" s="55">
        <f t="shared" si="43"/>
        <v>5163.3258093071436</v>
      </c>
      <c r="AA56" s="55">
        <f t="shared" si="43"/>
        <v>5428.2116625424114</v>
      </c>
      <c r="AB56" s="55">
        <f t="shared" si="43"/>
        <v>5708.2489865827374</v>
      </c>
      <c r="AC56" s="55">
        <f t="shared" si="43"/>
        <v>6004.3044455581694</v>
      </c>
    </row>
    <row r="57" spans="1:29" x14ac:dyDescent="0.3">
      <c r="A57" s="54"/>
      <c r="B57" s="54" t="s">
        <v>20</v>
      </c>
      <c r="C57" s="54"/>
      <c r="D57" s="54" t="s">
        <v>10</v>
      </c>
      <c r="E57" s="55">
        <f t="shared" ref="E57:AC57" si="44">E35</f>
        <v>4051.1855999999998</v>
      </c>
      <c r="F57" s="55">
        <f t="shared" si="44"/>
        <v>4051.1855999999998</v>
      </c>
      <c r="G57" s="55">
        <f t="shared" si="44"/>
        <v>4051.1855999999998</v>
      </c>
      <c r="H57" s="55">
        <f t="shared" si="44"/>
        <v>4051.1855999999998</v>
      </c>
      <c r="I57" s="55">
        <f t="shared" si="44"/>
        <v>4051.1855999999998</v>
      </c>
      <c r="J57" s="55">
        <f t="shared" si="44"/>
        <v>4051.1855999999998</v>
      </c>
      <c r="K57" s="55">
        <f t="shared" si="44"/>
        <v>4051.1855999999998</v>
      </c>
      <c r="L57" s="55">
        <f t="shared" si="44"/>
        <v>4051.1855999999998</v>
      </c>
      <c r="M57" s="55">
        <f t="shared" si="44"/>
        <v>4051.1855999999998</v>
      </c>
      <c r="N57" s="55">
        <f t="shared" si="44"/>
        <v>4051.1855999999998</v>
      </c>
      <c r="O57" s="55">
        <f t="shared" si="44"/>
        <v>4051.1855999999998</v>
      </c>
      <c r="P57" s="55">
        <f t="shared" si="44"/>
        <v>4051.1855999999998</v>
      </c>
      <c r="Q57" s="55">
        <f t="shared" si="44"/>
        <v>4051.1855999999998</v>
      </c>
      <c r="R57" s="55">
        <f t="shared" si="44"/>
        <v>1365.7406000000001</v>
      </c>
      <c r="S57" s="55">
        <f t="shared" si="44"/>
        <v>1365.7406000000001</v>
      </c>
      <c r="T57" s="55">
        <f t="shared" si="44"/>
        <v>1365.7406000000001</v>
      </c>
      <c r="U57" s="55">
        <f t="shared" si="44"/>
        <v>1365.7406000000001</v>
      </c>
      <c r="V57" s="55">
        <f t="shared" si="44"/>
        <v>1365.7406000000001</v>
      </c>
      <c r="W57" s="55">
        <f t="shared" si="44"/>
        <v>1365.7406000000001</v>
      </c>
      <c r="X57" s="55">
        <f t="shared" si="44"/>
        <v>1365.7406000000001</v>
      </c>
      <c r="Y57" s="55">
        <f t="shared" si="44"/>
        <v>1365.7406000000001</v>
      </c>
      <c r="Z57" s="55">
        <f t="shared" si="44"/>
        <v>1365.7406000000001</v>
      </c>
      <c r="AA57" s="55">
        <f t="shared" si="44"/>
        <v>1365.7406000000001</v>
      </c>
      <c r="AB57" s="55">
        <f t="shared" si="44"/>
        <v>1365.7406000000001</v>
      </c>
      <c r="AC57" s="55">
        <f t="shared" si="44"/>
        <v>1365.7406000000001</v>
      </c>
    </row>
    <row r="58" spans="1:29" x14ac:dyDescent="0.3">
      <c r="A58" s="54"/>
      <c r="B58" s="54" t="s">
        <v>143</v>
      </c>
      <c r="C58" s="54"/>
      <c r="D58" s="54" t="s">
        <v>10</v>
      </c>
      <c r="E58" s="55">
        <f t="shared" ref="E58:AC58" si="45">E28</f>
        <v>3721.1981183999992</v>
      </c>
      <c r="F58" s="55">
        <f t="shared" si="45"/>
        <v>3429.5127551999994</v>
      </c>
      <c r="G58" s="55">
        <f t="shared" si="45"/>
        <v>3137.8273919999992</v>
      </c>
      <c r="H58" s="55">
        <f t="shared" si="45"/>
        <v>2846.1420287999995</v>
      </c>
      <c r="I58" s="55">
        <f t="shared" si="45"/>
        <v>2554.4566655999993</v>
      </c>
      <c r="J58" s="55">
        <f t="shared" si="45"/>
        <v>2262.7713023999995</v>
      </c>
      <c r="K58" s="55">
        <f t="shared" si="45"/>
        <v>1971.0859391999993</v>
      </c>
      <c r="L58" s="55">
        <f t="shared" si="45"/>
        <v>1679.4005759999995</v>
      </c>
      <c r="M58" s="55">
        <f t="shared" si="45"/>
        <v>1387.7152127999991</v>
      </c>
      <c r="N58" s="55">
        <f t="shared" si="45"/>
        <v>1096.0298495999994</v>
      </c>
      <c r="O58" s="55">
        <f t="shared" si="45"/>
        <v>804.34448639999948</v>
      </c>
      <c r="P58" s="55">
        <f t="shared" si="45"/>
        <v>512.65912319999973</v>
      </c>
      <c r="Q58" s="55">
        <f t="shared" si="45"/>
        <v>220.97376</v>
      </c>
      <c r="R58" s="55">
        <f t="shared" si="45"/>
        <v>37.56553920000011</v>
      </c>
      <c r="S58" s="55">
        <f t="shared" si="45"/>
        <v>0</v>
      </c>
      <c r="T58" s="55">
        <f t="shared" si="45"/>
        <v>0</v>
      </c>
      <c r="U58" s="55">
        <f t="shared" si="45"/>
        <v>0</v>
      </c>
      <c r="V58" s="55">
        <f t="shared" si="45"/>
        <v>0</v>
      </c>
      <c r="W58" s="55">
        <f t="shared" si="45"/>
        <v>0</v>
      </c>
      <c r="X58" s="55">
        <f t="shared" si="45"/>
        <v>0</v>
      </c>
      <c r="Y58" s="55">
        <f t="shared" si="45"/>
        <v>0</v>
      </c>
      <c r="Z58" s="55">
        <f t="shared" si="45"/>
        <v>0</v>
      </c>
      <c r="AA58" s="55">
        <f t="shared" si="45"/>
        <v>0</v>
      </c>
      <c r="AB58" s="55">
        <f t="shared" si="45"/>
        <v>0</v>
      </c>
      <c r="AC58" s="55">
        <f t="shared" si="45"/>
        <v>0</v>
      </c>
    </row>
    <row r="59" spans="1:29" x14ac:dyDescent="0.3">
      <c r="A59" s="54"/>
      <c r="B59" s="54" t="s">
        <v>26</v>
      </c>
      <c r="C59" s="54"/>
      <c r="D59" s="54" t="s">
        <v>10</v>
      </c>
      <c r="E59" s="55">
        <f t="shared" ref="E59:AC59" si="46">E14</f>
        <v>4096.7887109077046</v>
      </c>
      <c r="F59" s="55">
        <f t="shared" si="46"/>
        <v>4096.7887109077046</v>
      </c>
      <c r="G59" s="55">
        <f t="shared" si="46"/>
        <v>4096.7887109077046</v>
      </c>
      <c r="H59" s="55">
        <f t="shared" si="46"/>
        <v>4096.7887109077046</v>
      </c>
      <c r="I59" s="55">
        <f t="shared" si="46"/>
        <v>4096.7887109077046</v>
      </c>
      <c r="J59" s="55">
        <f t="shared" si="46"/>
        <v>4096.7887109077046</v>
      </c>
      <c r="K59" s="55">
        <f t="shared" si="46"/>
        <v>4096.7887109077046</v>
      </c>
      <c r="L59" s="55">
        <f t="shared" si="46"/>
        <v>4096.7887109077046</v>
      </c>
      <c r="M59" s="55">
        <f t="shared" si="46"/>
        <v>4096.7887109077046</v>
      </c>
      <c r="N59" s="55">
        <f t="shared" si="46"/>
        <v>4096.7887109077046</v>
      </c>
      <c r="O59" s="55">
        <f t="shared" si="46"/>
        <v>4928.1755620125414</v>
      </c>
      <c r="P59" s="55">
        <f t="shared" si="46"/>
        <v>4928.1755620125414</v>
      </c>
      <c r="Q59" s="55">
        <f t="shared" si="46"/>
        <v>4928.1755620125414</v>
      </c>
      <c r="R59" s="55">
        <f t="shared" si="46"/>
        <v>4928.1755620125414</v>
      </c>
      <c r="S59" s="55">
        <f t="shared" si="46"/>
        <v>4928.1755620125414</v>
      </c>
      <c r="T59" s="55">
        <f t="shared" si="46"/>
        <v>4928.1755620125414</v>
      </c>
      <c r="U59" s="55">
        <f t="shared" si="46"/>
        <v>4928.1755620125414</v>
      </c>
      <c r="V59" s="55">
        <f t="shared" si="46"/>
        <v>4928.1755620125414</v>
      </c>
      <c r="W59" s="55">
        <f t="shared" si="46"/>
        <v>4928.1755620125414</v>
      </c>
      <c r="X59" s="55">
        <f t="shared" si="46"/>
        <v>4928.1755620125414</v>
      </c>
      <c r="Y59" s="55">
        <f t="shared" si="46"/>
        <v>4928.1755620125414</v>
      </c>
      <c r="Z59" s="55">
        <f t="shared" si="46"/>
        <v>4928.1755620125414</v>
      </c>
      <c r="AA59" s="55">
        <f t="shared" si="46"/>
        <v>4928.1755620125414</v>
      </c>
      <c r="AB59" s="55">
        <f t="shared" si="46"/>
        <v>4928.1755620125414</v>
      </c>
      <c r="AC59" s="55">
        <f t="shared" si="46"/>
        <v>4928.1755620125414</v>
      </c>
    </row>
    <row r="60" spans="1:29" x14ac:dyDescent="0.3">
      <c r="A60" s="54"/>
      <c r="B60" s="54" t="s">
        <v>140</v>
      </c>
      <c r="C60" s="54"/>
      <c r="D60" s="54" t="s">
        <v>10</v>
      </c>
      <c r="E60" s="55">
        <f ca="1">E53</f>
        <v>308.47575086128398</v>
      </c>
      <c r="F60" s="55">
        <f t="shared" ref="F60:AC60" ca="1" si="47">F53</f>
        <v>304.98036366525452</v>
      </c>
      <c r="G60" s="55">
        <f t="shared" ca="1" si="47"/>
        <v>302.70956996970165</v>
      </c>
      <c r="H60" s="55">
        <f t="shared" ca="1" si="47"/>
        <v>299.48310659589703</v>
      </c>
      <c r="I60" s="55">
        <f t="shared" ca="1" si="47"/>
        <v>297.55131267888299</v>
      </c>
      <c r="J60" s="55">
        <f t="shared" ca="1" si="47"/>
        <v>320.89930970713755</v>
      </c>
      <c r="K60" s="55">
        <f t="shared" ca="1" si="47"/>
        <v>321.49853486864953</v>
      </c>
      <c r="L60" s="55">
        <f t="shared" ca="1" si="47"/>
        <v>321.18772036607049</v>
      </c>
      <c r="M60" s="55">
        <f t="shared" ca="1" si="47"/>
        <v>321.1897866483821</v>
      </c>
      <c r="N60" s="55">
        <f t="shared" ca="1" si="47"/>
        <v>321.52263049648008</v>
      </c>
      <c r="O60" s="55">
        <f t="shared" ca="1" si="47"/>
        <v>338.68198967625005</v>
      </c>
      <c r="P60" s="55">
        <f t="shared" ca="1" si="47"/>
        <v>339.73423233748071</v>
      </c>
      <c r="Q60" s="55">
        <f t="shared" ca="1" si="47"/>
        <v>341.17732265337185</v>
      </c>
      <c r="R60" s="55">
        <f t="shared" ca="1" si="47"/>
        <v>291.95808728073263</v>
      </c>
      <c r="S60" s="55">
        <f t="shared" ca="1" si="47"/>
        <v>299.28748785033127</v>
      </c>
      <c r="T60" s="55">
        <f t="shared" ca="1" si="47"/>
        <v>307.8232066504641</v>
      </c>
      <c r="U60" s="55">
        <f t="shared" ca="1" si="47"/>
        <v>316.84716856596452</v>
      </c>
      <c r="V60" s="55">
        <f t="shared" ca="1" si="47"/>
        <v>326.38730110303152</v>
      </c>
      <c r="W60" s="55">
        <f t="shared" ca="1" si="47"/>
        <v>336.47312922121876</v>
      </c>
      <c r="X60" s="55">
        <f t="shared" ca="1" si="47"/>
        <v>347.13586670776635</v>
      </c>
      <c r="Y60" s="55">
        <f t="shared" ca="1" si="47"/>
        <v>358.40851277854443</v>
      </c>
      <c r="Z60" s="55">
        <f t="shared" ca="1" si="47"/>
        <v>370.32595420457108</v>
      </c>
      <c r="AA60" s="55">
        <f t="shared" ca="1" si="47"/>
        <v>382.92507328016637</v>
      </c>
      <c r="AB60" s="55">
        <f t="shared" ca="1" si="47"/>
        <v>396.24486196688571</v>
      </c>
      <c r="AC60" s="55">
        <f t="shared" ca="1" si="47"/>
        <v>410.32654256648539</v>
      </c>
    </row>
    <row r="61" spans="1:29" x14ac:dyDescent="0.3">
      <c r="A61" s="52"/>
      <c r="B61" s="52" t="s">
        <v>24</v>
      </c>
      <c r="C61" s="52"/>
      <c r="D61" s="54" t="s">
        <v>10</v>
      </c>
      <c r="E61" s="56">
        <f t="shared" ref="E61:AC61" ca="1" si="48">SUM(E56:E60)</f>
        <v>13717.602180168988</v>
      </c>
      <c r="F61" s="56">
        <f t="shared" ca="1" si="48"/>
        <v>13470.469429772958</v>
      </c>
      <c r="G61" s="56">
        <f t="shared" ca="1" si="48"/>
        <v>13250.307318477408</v>
      </c>
      <c r="H61" s="56">
        <f t="shared" ca="1" si="48"/>
        <v>13009.097388471921</v>
      </c>
      <c r="I61" s="56">
        <f t="shared" ca="1" si="48"/>
        <v>12796.401461406935</v>
      </c>
      <c r="J61" s="56">
        <f t="shared" ca="1" si="48"/>
        <v>13140.471610476588</v>
      </c>
      <c r="K61" s="56">
        <f t="shared" ca="1" si="48"/>
        <v>12983.519244108909</v>
      </c>
      <c r="L61" s="56">
        <f t="shared" ca="1" si="48"/>
        <v>12806.524021611614</v>
      </c>
      <c r="M61" s="56">
        <f t="shared" ca="1" si="48"/>
        <v>12636.41973453695</v>
      </c>
      <c r="N61" s="56">
        <f t="shared" ca="1" si="48"/>
        <v>12473.600544391093</v>
      </c>
      <c r="O61" s="56">
        <f t="shared" ca="1" si="48"/>
        <v>13166.346827112331</v>
      </c>
      <c r="P61" s="56">
        <f t="shared" ca="1" si="48"/>
        <v>13019.371789128609</v>
      </c>
      <c r="Q61" s="56">
        <f t="shared" ca="1" si="48"/>
        <v>12881.004841121694</v>
      </c>
      <c r="R61" s="56">
        <f t="shared" ca="1" si="48"/>
        <v>10123.494978409226</v>
      </c>
      <c r="S61" s="56">
        <f t="shared" ca="1" si="48"/>
        <v>10263.005613584917</v>
      </c>
      <c r="T61" s="56">
        <f t="shared" ca="1" si="48"/>
        <v>10450.99762165285</v>
      </c>
      <c r="U61" s="56">
        <f t="shared" ca="1" si="48"/>
        <v>10649.742772582271</v>
      </c>
      <c r="V61" s="56">
        <f t="shared" ca="1" si="48"/>
        <v>10859.856146144852</v>
      </c>
      <c r="W61" s="56">
        <f t="shared" ca="1" si="48"/>
        <v>11081.988004675213</v>
      </c>
      <c r="X61" s="56">
        <f t="shared" ca="1" si="48"/>
        <v>11316.825805513512</v>
      </c>
      <c r="Y61" s="56">
        <f t="shared" ca="1" si="48"/>
        <v>11565.096328559761</v>
      </c>
      <c r="Z61" s="56">
        <f t="shared" ca="1" si="48"/>
        <v>11827.567925524256</v>
      </c>
      <c r="AA61" s="56">
        <f t="shared" ca="1" si="48"/>
        <v>12105.052897835119</v>
      </c>
      <c r="AB61" s="56">
        <f t="shared" ca="1" si="48"/>
        <v>12398.410010562164</v>
      </c>
      <c r="AC61" s="56">
        <f t="shared" ca="1" si="48"/>
        <v>12708.547150137196</v>
      </c>
    </row>
    <row r="62" spans="1:29" x14ac:dyDescent="0.3">
      <c r="A62" s="52"/>
      <c r="B62" s="52" t="s">
        <v>146</v>
      </c>
      <c r="C62" s="52"/>
      <c r="D62" s="53"/>
      <c r="E62" s="56">
        <f ca="1">E61/('Cost Requirement'!G17*10)</f>
        <v>3.1498882788631146</v>
      </c>
      <c r="F62" s="56">
        <f ca="1">F61/('Cost Requirement'!H17*10)</f>
        <v>3.0931407114988261</v>
      </c>
      <c r="G62" s="56">
        <f ca="1">G61/('Cost Requirement'!I17*10)</f>
        <v>3.0425862454404533</v>
      </c>
      <c r="H62" s="56">
        <f ca="1">H61/('Cost Requirement'!J17*10)</f>
        <v>2.9871986987474846</v>
      </c>
      <c r="I62" s="56">
        <f ca="1">I61/('Cost Requirement'!K17*10)</f>
        <v>2.9383586464683429</v>
      </c>
      <c r="J62" s="56">
        <f ca="1">J61/('Cost Requirement'!L17*10)</f>
        <v>3.0173653500763518</v>
      </c>
      <c r="K62" s="56">
        <f ca="1">K61/('Cost Requirement'!M17*10)</f>
        <v>2.9813253474091153</v>
      </c>
      <c r="L62" s="56">
        <f ca="1">L61/('Cost Requirement'!N17*10)</f>
        <v>2.9406830274586957</v>
      </c>
      <c r="M62" s="56">
        <f ca="1">M61/('Cost Requirement'!O17*10)</f>
        <v>2.9016230304560526</v>
      </c>
      <c r="N62" s="56">
        <f ca="1">N61/('Cost Requirement'!P17*10)</f>
        <v>2.8642358652737991</v>
      </c>
      <c r="O62" s="56">
        <f ca="1">O61/('Cost Requirement'!Q17*10)</f>
        <v>3.0233069162862098</v>
      </c>
      <c r="P62" s="56">
        <f ca="1">P61/('Cost Requirement'!R17*10)</f>
        <v>2.989557945923178</v>
      </c>
      <c r="Q62" s="56">
        <f ca="1">Q61/('Cost Requirement'!S17*10)</f>
        <v>2.9577855981043206</v>
      </c>
      <c r="R62" s="56">
        <f ca="1">R61/('Cost Requirement'!T17*10)</f>
        <v>2.3245956366718308</v>
      </c>
      <c r="S62" s="56">
        <f ca="1">S61/('Cost Requirement'!U17*10)</f>
        <v>2.3566306023126877</v>
      </c>
      <c r="T62" s="56">
        <f ca="1">T61/('Cost Requirement'!V17*10)</f>
        <v>2.3997980462256754</v>
      </c>
      <c r="U62" s="56">
        <f ca="1">U61/('Cost Requirement'!W17*10)</f>
        <v>2.4454346679304866</v>
      </c>
      <c r="V62" s="56">
        <f ca="1">V61/('Cost Requirement'!X17*10)</f>
        <v>2.493681704396812</v>
      </c>
      <c r="W62" s="56">
        <f ca="1">W61/('Cost Requirement'!Y17*10)</f>
        <v>2.5446884713490117</v>
      </c>
      <c r="X62" s="56">
        <f ca="1">X61/('Cost Requirement'!Z17*10)</f>
        <v>2.5986128253708771</v>
      </c>
      <c r="Y62" s="56">
        <f ca="1">Y61/('Cost Requirement'!AA17*10)</f>
        <v>2.6556216524427936</v>
      </c>
      <c r="Z62" s="56">
        <f ca="1">Z61/('Cost Requirement'!AB17*10)</f>
        <v>2.7158913844232235</v>
      </c>
      <c r="AA62" s="56">
        <f ca="1">AA61/('Cost Requirement'!AC17*10)</f>
        <v>2.779608545072934</v>
      </c>
      <c r="AB62" s="56">
        <f ca="1">AB61/('Cost Requirement'!AD17*10)</f>
        <v>2.8469703273118077</v>
      </c>
      <c r="AC62" s="56">
        <f ca="1">AC61/('Cost Requirement'!AE17*10)</f>
        <v>2.9181852034947449</v>
      </c>
    </row>
    <row r="63" spans="1:29" s="57" customFormat="1"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State-wise Tariff</vt:lpstr>
      <vt:lpstr>Input Sheet</vt:lpstr>
      <vt:lpstr>Output</vt:lpstr>
      <vt:lpstr>Cost Requirement</vt:lpstr>
      <vt:lpstr>Financial</vt:lpstr>
      <vt:lpstr>Basic Tariff 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2022-11-27T02:27:32Z</dcterms:modified>
</cp:coreProperties>
</file>